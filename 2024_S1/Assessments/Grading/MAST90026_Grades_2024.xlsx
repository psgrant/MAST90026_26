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torm/Documents/Teaching/MAST90026/MAST90026_2024/Assessments/Grading/"/>
    </mc:Choice>
  </mc:AlternateContent>
  <xr:revisionPtr revIDLastSave="0" documentId="13_ncr:1_{CF4E624F-9FCF-164A-93AF-56E33FB7AFF6}" xr6:coauthVersionLast="47" xr6:coauthVersionMax="47" xr10:uidLastSave="{00000000-0000-0000-0000-000000000000}"/>
  <bookViews>
    <workbookView xWindow="-34580" yWindow="3880" windowWidth="34560" windowHeight="21580" xr2:uid="{00000000-000D-0000-FFFF-FFFF00000000}"/>
  </bookViews>
  <sheets>
    <sheet name="Master Grades" sheetId="1" r:id="rId1"/>
    <sheet name="Homework 1" sheetId="2" r:id="rId2"/>
    <sheet name="Homework 2" sheetId="3" r:id="rId3"/>
    <sheet name="Homework 3" sheetId="4" r:id="rId4"/>
    <sheet name="Homework 4" sheetId="5" r:id="rId5"/>
    <sheet name="Assignment 1" sheetId="6" r:id="rId6"/>
    <sheet name="Assignment 2" sheetId="7" r:id="rId7"/>
    <sheet name="Assignment 3" sheetId="8" r:id="rId8"/>
    <sheet name="Presentation" sheetId="9" r:id="rId9"/>
  </sheets>
  <definedNames>
    <definedName name="_xlchart.v1.0" hidden="1">'Master Grades'!$H$3:$H$42</definedName>
    <definedName name="_xlchart.v1.1" hidden="1">'Master Grades'!$Z$27:$Z$33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1" l="1"/>
  <c r="N26" i="1"/>
  <c r="Q26" i="1"/>
  <c r="I43" i="1"/>
  <c r="I3" i="8" l="1"/>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C3" i="8"/>
  <c r="C4" i="8"/>
  <c r="C5" i="8"/>
  <c r="C6" i="8"/>
  <c r="C7" i="8"/>
  <c r="C8" i="8"/>
  <c r="C9" i="8"/>
  <c r="C10" i="8"/>
  <c r="C11" i="8"/>
  <c r="C12" i="8"/>
  <c r="C13" i="8"/>
  <c r="C14" i="8"/>
  <c r="C15" i="8"/>
  <c r="C16" i="8"/>
  <c r="C17" i="8"/>
  <c r="C18" i="8"/>
  <c r="C19" i="8"/>
  <c r="C20" i="8"/>
  <c r="C21" i="8"/>
  <c r="C22" i="8"/>
  <c r="C23" i="8"/>
  <c r="C24" i="8"/>
  <c r="C25" i="8"/>
  <c r="C26" i="8"/>
  <c r="P26" i="1" s="1"/>
  <c r="C27" i="8"/>
  <c r="C28" i="8"/>
  <c r="C29" i="8"/>
  <c r="C30" i="8"/>
  <c r="C31" i="8"/>
  <c r="C32" i="8"/>
  <c r="C33" i="8"/>
  <c r="C34" i="8"/>
  <c r="C35" i="8"/>
  <c r="C36" i="8"/>
  <c r="C37" i="8"/>
  <c r="C38" i="8"/>
  <c r="C39" i="8"/>
  <c r="C40" i="8"/>
  <c r="C41" i="8"/>
  <c r="C42" i="8"/>
  <c r="I2" i="8"/>
  <c r="C2" i="8"/>
  <c r="J38" i="7"/>
  <c r="J18" i="7"/>
  <c r="J15" i="7"/>
  <c r="J3" i="7" l="1"/>
  <c r="J4" i="7"/>
  <c r="J5" i="7"/>
  <c r="J6" i="7"/>
  <c r="J7" i="7"/>
  <c r="J8" i="7"/>
  <c r="J9" i="7"/>
  <c r="J10" i="7"/>
  <c r="J11" i="7"/>
  <c r="J12" i="7"/>
  <c r="J13" i="7"/>
  <c r="J14" i="7"/>
  <c r="J16" i="7"/>
  <c r="J17" i="7"/>
  <c r="J19" i="7"/>
  <c r="J20" i="7"/>
  <c r="J21" i="7"/>
  <c r="J22" i="7"/>
  <c r="J23" i="7"/>
  <c r="J24" i="7"/>
  <c r="J25" i="7"/>
  <c r="J26" i="7"/>
  <c r="J27" i="7"/>
  <c r="J28" i="7"/>
  <c r="J29" i="7"/>
  <c r="J30" i="7"/>
  <c r="J31" i="7"/>
  <c r="J32" i="7"/>
  <c r="J33" i="7"/>
  <c r="J34" i="7"/>
  <c r="J35" i="7"/>
  <c r="J36" i="7"/>
  <c r="J37" i="7"/>
  <c r="J39" i="7"/>
  <c r="J40" i="7"/>
  <c r="J41" i="7"/>
  <c r="J42" i="7"/>
  <c r="J2" i="7"/>
  <c r="C3" i="7"/>
  <c r="O3" i="1" s="1"/>
  <c r="C4" i="7"/>
  <c r="O4" i="1" s="1"/>
  <c r="C5" i="7"/>
  <c r="O5" i="1" s="1"/>
  <c r="C6" i="7"/>
  <c r="O6" i="1" s="1"/>
  <c r="C7" i="7"/>
  <c r="O7" i="1" s="1"/>
  <c r="C8" i="7"/>
  <c r="O8" i="1" s="1"/>
  <c r="C9" i="7"/>
  <c r="O9" i="1" s="1"/>
  <c r="C10" i="7"/>
  <c r="O10" i="1" s="1"/>
  <c r="C11" i="7"/>
  <c r="O11" i="1" s="1"/>
  <c r="C12" i="7"/>
  <c r="O12" i="1" s="1"/>
  <c r="C13" i="7"/>
  <c r="C14" i="7"/>
  <c r="O14" i="1" s="1"/>
  <c r="C15" i="7"/>
  <c r="O15" i="1" s="1"/>
  <c r="C16" i="7"/>
  <c r="O16" i="1" s="1"/>
  <c r="C17" i="7"/>
  <c r="O17" i="1" s="1"/>
  <c r="C18" i="7"/>
  <c r="O18" i="1" s="1"/>
  <c r="C19" i="7"/>
  <c r="O19" i="1" s="1"/>
  <c r="C20" i="7"/>
  <c r="O20" i="1" s="1"/>
  <c r="C21" i="7"/>
  <c r="O21" i="1" s="1"/>
  <c r="C22" i="7"/>
  <c r="O22" i="1" s="1"/>
  <c r="C23" i="7"/>
  <c r="O23" i="1" s="1"/>
  <c r="C24" i="7"/>
  <c r="O24" i="1" s="1"/>
  <c r="C25" i="7"/>
  <c r="O25" i="1" s="1"/>
  <c r="C26" i="7"/>
  <c r="C27" i="7"/>
  <c r="O27" i="1" s="1"/>
  <c r="C28" i="7"/>
  <c r="O28" i="1" s="1"/>
  <c r="C29" i="7"/>
  <c r="O29" i="1" s="1"/>
  <c r="C30" i="7"/>
  <c r="O30" i="1" s="1"/>
  <c r="C31" i="7"/>
  <c r="O31" i="1" s="1"/>
  <c r="C32" i="7"/>
  <c r="C33" i="7"/>
  <c r="O33" i="1" s="1"/>
  <c r="C34" i="7"/>
  <c r="C35" i="7"/>
  <c r="O35" i="1" s="1"/>
  <c r="C36" i="7"/>
  <c r="O36" i="1" s="1"/>
  <c r="C37" i="7"/>
  <c r="O37" i="1" s="1"/>
  <c r="C38" i="7"/>
  <c r="O38" i="1" s="1"/>
  <c r="C39" i="7"/>
  <c r="O39" i="1" s="1"/>
  <c r="C40" i="7"/>
  <c r="O40" i="1" s="1"/>
  <c r="C41" i="7"/>
  <c r="O41" i="1" s="1"/>
  <c r="C42" i="7"/>
  <c r="O42" i="1" s="1"/>
  <c r="C2" i="7"/>
  <c r="O2" i="1" s="1"/>
  <c r="K26" i="6"/>
  <c r="K36" i="6"/>
  <c r="K4" i="6"/>
  <c r="K5" i="6"/>
  <c r="K6" i="6"/>
  <c r="K7" i="6"/>
  <c r="K8" i="6"/>
  <c r="K9" i="6"/>
  <c r="K10" i="6"/>
  <c r="K11" i="6"/>
  <c r="K12" i="6"/>
  <c r="K13" i="6"/>
  <c r="K14" i="6"/>
  <c r="K15" i="6"/>
  <c r="K16" i="6"/>
  <c r="K17" i="6"/>
  <c r="K18" i="6"/>
  <c r="K19" i="6"/>
  <c r="K20" i="6"/>
  <c r="K21" i="6"/>
  <c r="K22" i="6"/>
  <c r="K23" i="6"/>
  <c r="K24" i="6"/>
  <c r="K25" i="6"/>
  <c r="K27" i="6"/>
  <c r="K28" i="6"/>
  <c r="K29" i="6"/>
  <c r="K30" i="6"/>
  <c r="K31" i="6"/>
  <c r="K32" i="6"/>
  <c r="K33" i="6"/>
  <c r="K34" i="6"/>
  <c r="K35" i="6"/>
  <c r="K37" i="6"/>
  <c r="K38" i="6"/>
  <c r="K39" i="6"/>
  <c r="K40" i="6"/>
  <c r="K41" i="6"/>
  <c r="K42" i="6"/>
  <c r="K3" i="6"/>
  <c r="C3" i="9"/>
  <c r="Q3" i="1" s="1"/>
  <c r="C4" i="9"/>
  <c r="C5" i="9"/>
  <c r="C6" i="9"/>
  <c r="C7" i="9"/>
  <c r="Q7" i="1" s="1"/>
  <c r="C8" i="9"/>
  <c r="Q8" i="1" s="1"/>
  <c r="C9" i="9"/>
  <c r="Q9" i="1" s="1"/>
  <c r="C10" i="9"/>
  <c r="Q10" i="1" s="1"/>
  <c r="C11" i="9"/>
  <c r="Q11" i="1" s="1"/>
  <c r="C12" i="9"/>
  <c r="Q12" i="1" s="1"/>
  <c r="C13" i="9"/>
  <c r="Q13" i="1" s="1"/>
  <c r="C14" i="9"/>
  <c r="Q14" i="1" s="1"/>
  <c r="C15" i="9"/>
  <c r="Q15" i="1" s="1"/>
  <c r="C16" i="9"/>
  <c r="Q16" i="1" s="1"/>
  <c r="C17" i="9"/>
  <c r="Q17" i="1" s="1"/>
  <c r="C18" i="9"/>
  <c r="Q18" i="1" s="1"/>
  <c r="C19" i="9"/>
  <c r="Q19" i="1" s="1"/>
  <c r="C20" i="9"/>
  <c r="Q20" i="1" s="1"/>
  <c r="C21" i="9"/>
  <c r="Q21" i="1" s="1"/>
  <c r="C22" i="9"/>
  <c r="Q22" i="1" s="1"/>
  <c r="C23" i="9"/>
  <c r="C24" i="9"/>
  <c r="C25" i="9"/>
  <c r="Q25" i="1" s="1"/>
  <c r="C26" i="9"/>
  <c r="C27" i="9"/>
  <c r="Q27" i="1" s="1"/>
  <c r="C28" i="9"/>
  <c r="Q28" i="1" s="1"/>
  <c r="C29" i="9"/>
  <c r="Q29" i="1" s="1"/>
  <c r="C30" i="9"/>
  <c r="Q30" i="1" s="1"/>
  <c r="C31" i="9"/>
  <c r="Q31" i="1" s="1"/>
  <c r="C32" i="9"/>
  <c r="Q32" i="1" s="1"/>
  <c r="C33" i="9"/>
  <c r="Q33" i="1" s="1"/>
  <c r="C34" i="9"/>
  <c r="C35" i="9"/>
  <c r="Q35" i="1" s="1"/>
  <c r="C36" i="9"/>
  <c r="Q36" i="1" s="1"/>
  <c r="C37" i="9"/>
  <c r="Q37" i="1" s="1"/>
  <c r="C38" i="9"/>
  <c r="Q38" i="1" s="1"/>
  <c r="C39" i="9"/>
  <c r="Q39" i="1" s="1"/>
  <c r="C40" i="9"/>
  <c r="Q40" i="1" s="1"/>
  <c r="C41" i="9"/>
  <c r="Q41" i="1" s="1"/>
  <c r="C42" i="9"/>
  <c r="Q42" i="1" s="1"/>
  <c r="C2" i="9"/>
  <c r="C3" i="6"/>
  <c r="N3" i="1" s="1"/>
  <c r="C4" i="6"/>
  <c r="N4" i="1" s="1"/>
  <c r="C5" i="6"/>
  <c r="N5" i="1" s="1"/>
  <c r="C6" i="6"/>
  <c r="N6" i="1" s="1"/>
  <c r="C7" i="6"/>
  <c r="N7" i="1" s="1"/>
  <c r="C8" i="6"/>
  <c r="N8" i="1" s="1"/>
  <c r="C9" i="6"/>
  <c r="N9" i="1" s="1"/>
  <c r="C10" i="6"/>
  <c r="N10" i="1" s="1"/>
  <c r="C11" i="6"/>
  <c r="N11" i="1" s="1"/>
  <c r="C12" i="6"/>
  <c r="C13" i="6"/>
  <c r="C14" i="6"/>
  <c r="N14" i="1" s="1"/>
  <c r="C15" i="6"/>
  <c r="N15" i="1" s="1"/>
  <c r="C16" i="6"/>
  <c r="N16" i="1" s="1"/>
  <c r="C17" i="6"/>
  <c r="N17" i="1" s="1"/>
  <c r="C18" i="6"/>
  <c r="N18" i="1" s="1"/>
  <c r="C19" i="6"/>
  <c r="N19" i="1" s="1"/>
  <c r="C20" i="6"/>
  <c r="N20" i="1" s="1"/>
  <c r="C21" i="6"/>
  <c r="N21" i="1" s="1"/>
  <c r="C22" i="6"/>
  <c r="N22" i="1" s="1"/>
  <c r="C23" i="6"/>
  <c r="N23" i="1" s="1"/>
  <c r="C24" i="6"/>
  <c r="C25" i="6"/>
  <c r="N25" i="1" s="1"/>
  <c r="C26" i="6"/>
  <c r="C27" i="6"/>
  <c r="N27" i="1" s="1"/>
  <c r="C28" i="6"/>
  <c r="N28" i="1" s="1"/>
  <c r="C29" i="6"/>
  <c r="N29" i="1" s="1"/>
  <c r="C30" i="6"/>
  <c r="N30" i="1" s="1"/>
  <c r="C31" i="6"/>
  <c r="N31" i="1" s="1"/>
  <c r="C32" i="6"/>
  <c r="C33" i="6"/>
  <c r="N33" i="1" s="1"/>
  <c r="C34" i="6"/>
  <c r="N34" i="1" s="1"/>
  <c r="C35" i="6"/>
  <c r="N35" i="1" s="1"/>
  <c r="C36" i="6"/>
  <c r="N36" i="1" s="1"/>
  <c r="C37" i="6"/>
  <c r="N37" i="1" s="1"/>
  <c r="C38" i="6"/>
  <c r="N38" i="1" s="1"/>
  <c r="C39" i="6"/>
  <c r="N39" i="1" s="1"/>
  <c r="C40" i="6"/>
  <c r="N40" i="1" s="1"/>
  <c r="C41" i="6"/>
  <c r="N41" i="1" s="1"/>
  <c r="C42" i="6"/>
  <c r="C2" i="6"/>
  <c r="C3" i="5"/>
  <c r="C4" i="5"/>
  <c r="C5" i="5"/>
  <c r="C6" i="5"/>
  <c r="M6" i="1" s="1"/>
  <c r="C7" i="5"/>
  <c r="M7" i="1" s="1"/>
  <c r="C8" i="5"/>
  <c r="M8" i="1" s="1"/>
  <c r="C9" i="5"/>
  <c r="M9" i="1" s="1"/>
  <c r="C10" i="5"/>
  <c r="M10" i="1" s="1"/>
  <c r="C11" i="5"/>
  <c r="M11" i="1" s="1"/>
  <c r="C12" i="5"/>
  <c r="M12" i="1" s="1"/>
  <c r="C13" i="5"/>
  <c r="C14" i="5"/>
  <c r="C15" i="5"/>
  <c r="M15" i="1" s="1"/>
  <c r="C16" i="5"/>
  <c r="C17" i="5"/>
  <c r="M17" i="1" s="1"/>
  <c r="C18" i="5"/>
  <c r="C19" i="5"/>
  <c r="M19" i="1" s="1"/>
  <c r="C20" i="5"/>
  <c r="M20" i="1" s="1"/>
  <c r="C21" i="5"/>
  <c r="M21" i="1" s="1"/>
  <c r="C22" i="5"/>
  <c r="M22" i="1" s="1"/>
  <c r="C23" i="5"/>
  <c r="C24" i="5"/>
  <c r="C25" i="5"/>
  <c r="M25" i="1" s="1"/>
  <c r="C26" i="5"/>
  <c r="M26" i="1" s="1"/>
  <c r="C27" i="5"/>
  <c r="M27" i="1" s="1"/>
  <c r="C28" i="5"/>
  <c r="M28" i="1" s="1"/>
  <c r="C29" i="5"/>
  <c r="M29" i="1" s="1"/>
  <c r="C30" i="5"/>
  <c r="M30" i="1" s="1"/>
  <c r="C31" i="5"/>
  <c r="M31" i="1" s="1"/>
  <c r="C32" i="5"/>
  <c r="M32" i="1" s="1"/>
  <c r="C33" i="5"/>
  <c r="C34" i="5"/>
  <c r="M34" i="1" s="1"/>
  <c r="C35" i="5"/>
  <c r="M35" i="1" s="1"/>
  <c r="C36" i="5"/>
  <c r="M36" i="1" s="1"/>
  <c r="C37" i="5"/>
  <c r="M37" i="1" s="1"/>
  <c r="C38" i="5"/>
  <c r="M38" i="1" s="1"/>
  <c r="C39" i="5"/>
  <c r="M39" i="1" s="1"/>
  <c r="C40" i="5"/>
  <c r="M40" i="1" s="1"/>
  <c r="C41" i="5"/>
  <c r="M41" i="1" s="1"/>
  <c r="C42" i="5"/>
  <c r="M42" i="1" s="1"/>
  <c r="C2" i="5"/>
  <c r="M2" i="1" s="1"/>
  <c r="C3" i="4"/>
  <c r="C4" i="4"/>
  <c r="C5" i="4"/>
  <c r="L5" i="1" s="1"/>
  <c r="C6" i="4"/>
  <c r="L6" i="1" s="1"/>
  <c r="C7" i="4"/>
  <c r="L7" i="1" s="1"/>
  <c r="C8" i="4"/>
  <c r="L8" i="1" s="1"/>
  <c r="C9" i="4"/>
  <c r="L9" i="1" s="1"/>
  <c r="C10" i="4"/>
  <c r="L10" i="1" s="1"/>
  <c r="C11" i="4"/>
  <c r="L11" i="1" s="1"/>
  <c r="C12" i="4"/>
  <c r="L12" i="1" s="1"/>
  <c r="C13" i="4"/>
  <c r="L13" i="1" s="1"/>
  <c r="C14" i="4"/>
  <c r="L14" i="1" s="1"/>
  <c r="C15" i="4"/>
  <c r="L15" i="1" s="1"/>
  <c r="C16" i="4"/>
  <c r="L16" i="1" s="1"/>
  <c r="C17" i="4"/>
  <c r="L17" i="1" s="1"/>
  <c r="C18" i="4"/>
  <c r="L18" i="1" s="1"/>
  <c r="C19" i="4"/>
  <c r="L19" i="1" s="1"/>
  <c r="C20" i="4"/>
  <c r="L20" i="1" s="1"/>
  <c r="C21" i="4"/>
  <c r="L21" i="1" s="1"/>
  <c r="C22" i="4"/>
  <c r="L22" i="1" s="1"/>
  <c r="C23" i="4"/>
  <c r="L23" i="1" s="1"/>
  <c r="C24" i="4"/>
  <c r="L24" i="1" s="1"/>
  <c r="C25" i="4"/>
  <c r="L25" i="1" s="1"/>
  <c r="C26" i="4"/>
  <c r="L26" i="1" s="1"/>
  <c r="C27" i="4"/>
  <c r="L27" i="1" s="1"/>
  <c r="C28" i="4"/>
  <c r="L28" i="1" s="1"/>
  <c r="C29" i="4"/>
  <c r="L29" i="1" s="1"/>
  <c r="C30" i="4"/>
  <c r="L30" i="1" s="1"/>
  <c r="C31" i="4"/>
  <c r="L31" i="1" s="1"/>
  <c r="C32" i="4"/>
  <c r="L32" i="1" s="1"/>
  <c r="C33" i="4"/>
  <c r="L33" i="1" s="1"/>
  <c r="C34" i="4"/>
  <c r="L34" i="1" s="1"/>
  <c r="C35" i="4"/>
  <c r="L35" i="1" s="1"/>
  <c r="C36" i="4"/>
  <c r="L36" i="1" s="1"/>
  <c r="C37" i="4"/>
  <c r="L37" i="1" s="1"/>
  <c r="C38" i="4"/>
  <c r="L38" i="1" s="1"/>
  <c r="C39" i="4"/>
  <c r="L39" i="1" s="1"/>
  <c r="C40" i="4"/>
  <c r="L40" i="1" s="1"/>
  <c r="C41" i="4"/>
  <c r="L41" i="1" s="1"/>
  <c r="C42" i="4"/>
  <c r="L42" i="1" s="1"/>
  <c r="C2" i="4"/>
  <c r="L2" i="1" s="1"/>
  <c r="C3" i="3"/>
  <c r="C4" i="3"/>
  <c r="C5" i="3"/>
  <c r="K5" i="1" s="1"/>
  <c r="C6" i="3"/>
  <c r="K6" i="1" s="1"/>
  <c r="C7" i="3"/>
  <c r="K7" i="1" s="1"/>
  <c r="C8" i="3"/>
  <c r="K8" i="1" s="1"/>
  <c r="C9" i="3"/>
  <c r="K9" i="1" s="1"/>
  <c r="C10" i="3"/>
  <c r="K10" i="1" s="1"/>
  <c r="C11" i="3"/>
  <c r="K11" i="1" s="1"/>
  <c r="C12" i="3"/>
  <c r="K12" i="1" s="1"/>
  <c r="C13" i="3"/>
  <c r="C14" i="3"/>
  <c r="K14" i="1" s="1"/>
  <c r="C15" i="3"/>
  <c r="K15" i="1" s="1"/>
  <c r="C16" i="3"/>
  <c r="K16" i="1" s="1"/>
  <c r="C17" i="3"/>
  <c r="K17" i="1" s="1"/>
  <c r="C18" i="3"/>
  <c r="K18" i="1" s="1"/>
  <c r="C19" i="3"/>
  <c r="K19" i="1" s="1"/>
  <c r="C20" i="3"/>
  <c r="K20" i="1" s="1"/>
  <c r="C21" i="3"/>
  <c r="K21" i="1" s="1"/>
  <c r="C22" i="3"/>
  <c r="K22" i="1" s="1"/>
  <c r="C23" i="3"/>
  <c r="C24" i="3"/>
  <c r="C25" i="3"/>
  <c r="K25" i="1" s="1"/>
  <c r="C26" i="3"/>
  <c r="K26" i="1" s="1"/>
  <c r="C27" i="3"/>
  <c r="K27" i="1" s="1"/>
  <c r="C28" i="3"/>
  <c r="K28" i="1" s="1"/>
  <c r="C29" i="3"/>
  <c r="K29" i="1" s="1"/>
  <c r="C30" i="3"/>
  <c r="K30" i="1" s="1"/>
  <c r="C31" i="3"/>
  <c r="K31" i="1" s="1"/>
  <c r="C32" i="3"/>
  <c r="K32" i="1" s="1"/>
  <c r="C33" i="3"/>
  <c r="C34" i="3"/>
  <c r="K34" i="1" s="1"/>
  <c r="C35" i="3"/>
  <c r="K35" i="1" s="1"/>
  <c r="C36" i="3"/>
  <c r="K36" i="1" s="1"/>
  <c r="C37" i="3"/>
  <c r="K37" i="1" s="1"/>
  <c r="C38" i="3"/>
  <c r="K38" i="1" s="1"/>
  <c r="C39" i="3"/>
  <c r="K39" i="1" s="1"/>
  <c r="C40" i="3"/>
  <c r="K40" i="1" s="1"/>
  <c r="C41" i="3"/>
  <c r="K41" i="1" s="1"/>
  <c r="C42" i="3"/>
  <c r="K42" i="1" s="1"/>
  <c r="C2" i="3"/>
  <c r="P4" i="1"/>
  <c r="Q4" i="1"/>
  <c r="P5" i="1"/>
  <c r="Q5" i="1"/>
  <c r="P6" i="1"/>
  <c r="Q6" i="1"/>
  <c r="P7" i="1"/>
  <c r="P8" i="1"/>
  <c r="P9" i="1"/>
  <c r="P10" i="1"/>
  <c r="P11" i="1"/>
  <c r="N12" i="1"/>
  <c r="P12" i="1"/>
  <c r="N13" i="1"/>
  <c r="O13" i="1"/>
  <c r="P13" i="1"/>
  <c r="P14" i="1"/>
  <c r="P15" i="1"/>
  <c r="P16" i="1"/>
  <c r="P17" i="1"/>
  <c r="P18" i="1"/>
  <c r="P19" i="1"/>
  <c r="P20" i="1"/>
  <c r="P21" i="1"/>
  <c r="P22" i="1"/>
  <c r="P23" i="1"/>
  <c r="Q23" i="1"/>
  <c r="N24" i="1"/>
  <c r="P24" i="1"/>
  <c r="Q24" i="1"/>
  <c r="P25" i="1"/>
  <c r="P27" i="1"/>
  <c r="P28" i="1"/>
  <c r="P29" i="1"/>
  <c r="P30" i="1"/>
  <c r="P31" i="1"/>
  <c r="N32" i="1"/>
  <c r="O32" i="1"/>
  <c r="P32" i="1"/>
  <c r="P33" i="1"/>
  <c r="O34" i="1"/>
  <c r="P34" i="1"/>
  <c r="Q34" i="1"/>
  <c r="P35" i="1"/>
  <c r="P36" i="1"/>
  <c r="P37" i="1"/>
  <c r="P38" i="1"/>
  <c r="P39" i="1"/>
  <c r="P40" i="1"/>
  <c r="P41" i="1"/>
  <c r="N42" i="1"/>
  <c r="P42" i="1"/>
  <c r="N43" i="1"/>
  <c r="O43" i="1"/>
  <c r="P43" i="1"/>
  <c r="Q43" i="1"/>
  <c r="Q2" i="1"/>
  <c r="P2" i="1"/>
  <c r="N2" i="1"/>
  <c r="K2" i="1"/>
  <c r="J2" i="1"/>
  <c r="P3" i="1"/>
  <c r="M4" i="1"/>
  <c r="M5" i="1"/>
  <c r="M13" i="1"/>
  <c r="M14" i="1"/>
  <c r="M16" i="1"/>
  <c r="M18" i="1"/>
  <c r="M23" i="1"/>
  <c r="M24" i="1"/>
  <c r="M33" i="1"/>
  <c r="M43" i="1"/>
  <c r="M3" i="1"/>
  <c r="L4" i="1"/>
  <c r="L43" i="1"/>
  <c r="L3" i="1"/>
  <c r="K4" i="1"/>
  <c r="K13" i="1"/>
  <c r="K23" i="1"/>
  <c r="K24" i="1"/>
  <c r="K33" i="1"/>
  <c r="K43" i="1"/>
  <c r="K3" i="1"/>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B1" i="3"/>
  <c r="A1" i="3"/>
  <c r="J6" i="1"/>
  <c r="J7" i="1"/>
  <c r="J9" i="1"/>
  <c r="J16" i="1"/>
  <c r="J27" i="1"/>
  <c r="J43" i="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1" i="2"/>
  <c r="A1" i="2"/>
  <c r="A2"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3" i="2"/>
  <c r="C5" i="2"/>
  <c r="J5" i="1" s="1"/>
  <c r="C4" i="2"/>
  <c r="J4" i="1" s="1"/>
  <c r="C6" i="2"/>
  <c r="C7" i="2"/>
  <c r="C8" i="2"/>
  <c r="J8" i="1" s="1"/>
  <c r="C9" i="2"/>
  <c r="C10" i="2"/>
  <c r="J10" i="1" s="1"/>
  <c r="C11" i="2"/>
  <c r="J11" i="1" s="1"/>
  <c r="C12" i="2"/>
  <c r="J12" i="1" s="1"/>
  <c r="C13" i="2"/>
  <c r="J13" i="1" s="1"/>
  <c r="C14" i="2"/>
  <c r="J14" i="1" s="1"/>
  <c r="C15" i="2"/>
  <c r="J15" i="1" s="1"/>
  <c r="C16" i="2"/>
  <c r="C17" i="2"/>
  <c r="J17" i="1" s="1"/>
  <c r="C18" i="2"/>
  <c r="J18" i="1" s="1"/>
  <c r="C19" i="2"/>
  <c r="J19" i="1" s="1"/>
  <c r="C20" i="2"/>
  <c r="J20" i="1" s="1"/>
  <c r="C21" i="2"/>
  <c r="J21" i="1" s="1"/>
  <c r="C22" i="2"/>
  <c r="J22" i="1" s="1"/>
  <c r="C23" i="2"/>
  <c r="J23" i="1" s="1"/>
  <c r="C24" i="2"/>
  <c r="J24" i="1" s="1"/>
  <c r="C25" i="2"/>
  <c r="J25" i="1" s="1"/>
  <c r="C26" i="2"/>
  <c r="J26" i="1" s="1"/>
  <c r="C27" i="2"/>
  <c r="C28" i="2"/>
  <c r="J28" i="1" s="1"/>
  <c r="C29" i="2"/>
  <c r="J29" i="1" s="1"/>
  <c r="C30" i="2"/>
  <c r="J30" i="1" s="1"/>
  <c r="C31" i="2"/>
  <c r="J31" i="1" s="1"/>
  <c r="C32" i="2"/>
  <c r="J32" i="1" s="1"/>
  <c r="C33" i="2"/>
  <c r="J33" i="1" s="1"/>
  <c r="C34" i="2"/>
  <c r="J34" i="1" s="1"/>
  <c r="C35" i="2"/>
  <c r="J35" i="1" s="1"/>
  <c r="C36" i="2"/>
  <c r="J36" i="1" s="1"/>
  <c r="C37" i="2"/>
  <c r="J37" i="1" s="1"/>
  <c r="C38" i="2"/>
  <c r="J38" i="1" s="1"/>
  <c r="C39" i="2"/>
  <c r="J39" i="1" s="1"/>
  <c r="C40" i="2"/>
  <c r="J40" i="1" s="1"/>
  <c r="C41" i="2"/>
  <c r="J41" i="1" s="1"/>
  <c r="C42" i="2"/>
  <c r="J42" i="1" s="1"/>
  <c r="C3" i="2"/>
  <c r="J3" i="1" s="1"/>
  <c r="C2" i="2"/>
  <c r="G43" i="1" l="1"/>
  <c r="G42" i="1"/>
  <c r="H42" i="1" s="1"/>
  <c r="I42" i="1" s="1"/>
  <c r="G27" i="1"/>
  <c r="H27" i="1" s="1"/>
  <c r="I27" i="1" s="1"/>
  <c r="G18" i="1"/>
  <c r="H18" i="1" s="1"/>
  <c r="I18" i="1" s="1"/>
  <c r="G15" i="1"/>
  <c r="H15" i="1" s="1"/>
  <c r="I15" i="1" s="1"/>
  <c r="G21" i="1"/>
  <c r="H21" i="1" s="1"/>
  <c r="I21" i="1" s="1"/>
  <c r="G9" i="1"/>
  <c r="H9" i="1" s="1"/>
  <c r="I9" i="1" s="1"/>
  <c r="G32" i="1"/>
  <c r="H32" i="1" s="1"/>
  <c r="I32" i="1" s="1"/>
  <c r="G20" i="1"/>
  <c r="H20" i="1" s="1"/>
  <c r="I20" i="1" s="1"/>
  <c r="G8" i="1"/>
  <c r="H8" i="1" s="1"/>
  <c r="I8" i="1" s="1"/>
  <c r="G19" i="1"/>
  <c r="H19" i="1" s="1"/>
  <c r="I19" i="1" s="1"/>
  <c r="G7" i="1"/>
  <c r="H7" i="1" s="1"/>
  <c r="I7" i="1" s="1"/>
  <c r="G5" i="1"/>
  <c r="H5" i="1" s="1"/>
  <c r="I5" i="1" s="1"/>
  <c r="G6" i="1"/>
  <c r="H6" i="1" s="1"/>
  <c r="I6" i="1" s="1"/>
  <c r="G17" i="1"/>
  <c r="H17" i="1" s="1"/>
  <c r="I17" i="1" s="1"/>
  <c r="G28" i="1"/>
  <c r="H28" i="1" s="1"/>
  <c r="I28" i="1" s="1"/>
  <c r="G16" i="1"/>
  <c r="H16" i="1" s="1"/>
  <c r="I16" i="1" s="1"/>
  <c r="G37" i="1"/>
  <c r="H37" i="1" s="1"/>
  <c r="I37" i="1" s="1"/>
  <c r="G38" i="1"/>
  <c r="H38" i="1" s="1"/>
  <c r="I38" i="1" s="1"/>
  <c r="G26" i="1"/>
  <c r="H26" i="1" s="1"/>
  <c r="I26" i="1" s="1"/>
  <c r="G36" i="1"/>
  <c r="H36" i="1" s="1"/>
  <c r="I36" i="1" s="1"/>
  <c r="G12" i="1"/>
  <c r="H12" i="1" s="1"/>
  <c r="I12" i="1" s="1"/>
  <c r="G13" i="1"/>
  <c r="H13" i="1" s="1"/>
  <c r="I13" i="1" s="1"/>
  <c r="G4" i="1"/>
  <c r="H4" i="1" s="1"/>
  <c r="I4" i="1" s="1"/>
  <c r="G34" i="1"/>
  <c r="H34" i="1" s="1"/>
  <c r="I34" i="1" s="1"/>
  <c r="G22" i="1"/>
  <c r="H22" i="1" s="1"/>
  <c r="I22" i="1" s="1"/>
  <c r="G10" i="1"/>
  <c r="H10" i="1" s="1"/>
  <c r="I10" i="1" s="1"/>
  <c r="G33" i="1"/>
  <c r="H33" i="1" s="1"/>
  <c r="I33" i="1" s="1"/>
  <c r="G11" i="1"/>
  <c r="H11" i="1" s="1"/>
  <c r="I11" i="1" s="1"/>
  <c r="G30" i="1"/>
  <c r="H30" i="1" s="1"/>
  <c r="I30" i="1" s="1"/>
  <c r="G41" i="1"/>
  <c r="H41" i="1" s="1"/>
  <c r="I41" i="1" s="1"/>
  <c r="G40" i="1"/>
  <c r="H40" i="1" s="1"/>
  <c r="I40" i="1" s="1"/>
  <c r="G29" i="1"/>
  <c r="H29" i="1" s="1"/>
  <c r="I29" i="1" s="1"/>
  <c r="G31" i="1"/>
  <c r="H31" i="1" s="1"/>
  <c r="I31" i="1" s="1"/>
  <c r="G39" i="1"/>
  <c r="H39" i="1" s="1"/>
  <c r="I39" i="1" s="1"/>
  <c r="G14" i="1"/>
  <c r="H14" i="1" s="1"/>
  <c r="I14" i="1" s="1"/>
  <c r="G25" i="1"/>
  <c r="H25" i="1" s="1"/>
  <c r="I25" i="1" s="1"/>
  <c r="G35" i="1"/>
  <c r="H35" i="1" s="1"/>
  <c r="I35" i="1" s="1"/>
  <c r="G3" i="1"/>
  <c r="H3" i="1" s="1"/>
  <c r="I3" i="1" s="1"/>
  <c r="G24" i="1"/>
  <c r="G23" i="1"/>
  <c r="G2" i="1"/>
  <c r="T4" i="1" l="1"/>
  <c r="T5" i="1"/>
  <c r="T6" i="1"/>
  <c r="T8" i="1"/>
  <c r="T7" i="1"/>
  <c r="T3" i="1"/>
  <c r="T9" i="1" l="1"/>
</calcChain>
</file>

<file path=xl/sharedStrings.xml><?xml version="1.0" encoding="utf-8"?>
<sst xmlns="http://schemas.openxmlformats.org/spreadsheetml/2006/main" count="737" uniqueCount="354">
  <si>
    <t>Student</t>
  </si>
  <si>
    <t>ID</t>
  </si>
  <si>
    <t>SIS User ID</t>
  </si>
  <si>
    <t>SIS Login ID</t>
  </si>
  <si>
    <t>Section</t>
  </si>
  <si>
    <t>Student Id</t>
  </si>
  <si>
    <t>Interim Grade</t>
  </si>
  <si>
    <t>Homework 1 (464729)</t>
  </si>
  <si>
    <t>Homework 2 (464730)</t>
  </si>
  <si>
    <t>Homework 3 (464731)</t>
  </si>
  <si>
    <t>Homework 4 (464732)</t>
  </si>
  <si>
    <t>Assignment 1 (464747)</t>
  </si>
  <si>
    <t>Assignment 2 (464748)</t>
  </si>
  <si>
    <t>Assignment 3 (464749)</t>
  </si>
  <si>
    <t>Presentation (464745)</t>
  </si>
  <si>
    <t xml:space="preserve">    Points Possible</t>
  </si>
  <si>
    <t>(read only)</t>
  </si>
  <si>
    <t>CAO, Zhi</t>
  </si>
  <si>
    <t>zhcao2</t>
  </si>
  <si>
    <t>Computational Differential Equations (MAST90026_2024_SM1), Practical 1 (1), and Practical 2 (1)</t>
  </si>
  <si>
    <t>N</t>
  </si>
  <si>
    <t>Cash, Lachlan</t>
  </si>
  <si>
    <t>lcash</t>
  </si>
  <si>
    <t>CHEN, Yiru</t>
  </si>
  <si>
    <t>yiruchen3</t>
  </si>
  <si>
    <t>Chen, Yuning</t>
  </si>
  <si>
    <t>yunichen1</t>
  </si>
  <si>
    <t>CUI, Kaiyue</t>
  </si>
  <si>
    <t>kccu1</t>
  </si>
  <si>
    <t>Douglas, Gabe</t>
  </si>
  <si>
    <t>gvdouglas</t>
  </si>
  <si>
    <t>Effiezal Aswadi, Afiq</t>
  </si>
  <si>
    <t>aeffiezalasw</t>
  </si>
  <si>
    <t>GONG, Lishi</t>
  </si>
  <si>
    <t>lisgong</t>
  </si>
  <si>
    <t>Griffin, Joel</t>
  </si>
  <si>
    <t>jggrif</t>
  </si>
  <si>
    <t>HUANG, Yiran</t>
  </si>
  <si>
    <t>yiranhuang</t>
  </si>
  <si>
    <t>Iqbal, Shadman</t>
  </si>
  <si>
    <t>shadmani</t>
  </si>
  <si>
    <t>Jayanthy, Danielle</t>
  </si>
  <si>
    <t>ssarwesvaran</t>
  </si>
  <si>
    <t>Jiang, Zhuochen</t>
  </si>
  <si>
    <t>zhuochenj</t>
  </si>
  <si>
    <t>Kim, Jiseon</t>
  </si>
  <si>
    <t>jiseonk</t>
  </si>
  <si>
    <t>Li, Juji</t>
  </si>
  <si>
    <t>jujil</t>
  </si>
  <si>
    <t>Li, Zhihan</t>
  </si>
  <si>
    <t>zhihan2</t>
  </si>
  <si>
    <t>Ma, Jiayue</t>
  </si>
  <si>
    <t>jiayuem2</t>
  </si>
  <si>
    <t>Mccallum, Liam</t>
  </si>
  <si>
    <t>lmccallum</t>
  </si>
  <si>
    <t>Mifsud, Nathanael</t>
  </si>
  <si>
    <t>ntmifsud</t>
  </si>
  <si>
    <t>Ouyang, Yorking</t>
  </si>
  <si>
    <t>youjiano</t>
  </si>
  <si>
    <t>Rammohan, Radhik</t>
  </si>
  <si>
    <t>ex.rrammohan</t>
  </si>
  <si>
    <t>MAST90026_2024_SM1 (External Users)</t>
  </si>
  <si>
    <t>Sheng, Kwan</t>
  </si>
  <si>
    <t>ex.shengk</t>
  </si>
  <si>
    <t>Smith, Zac</t>
  </si>
  <si>
    <t>zacs</t>
  </si>
  <si>
    <t>SUN, Guangyue</t>
  </si>
  <si>
    <t>guangyue</t>
  </si>
  <si>
    <t>Sutherland, William</t>
  </si>
  <si>
    <t>wfsutherland</t>
  </si>
  <si>
    <t>Syed Muhammad Naquib Al Aidrus, Nadia</t>
  </si>
  <si>
    <t>sharifahnadi</t>
  </si>
  <si>
    <t>Tian, Lutong</t>
  </si>
  <si>
    <t>lutongt</t>
  </si>
  <si>
    <t>Todd, Matthew</t>
  </si>
  <si>
    <t>mstodd</t>
  </si>
  <si>
    <t>Wei, Yizhou</t>
  </si>
  <si>
    <t>yizwei</t>
  </si>
  <si>
    <t>Wu, Yilei</t>
  </si>
  <si>
    <t>yilei2</t>
  </si>
  <si>
    <t>Xiao, Shutian</t>
  </si>
  <si>
    <t>shutxiao</t>
  </si>
  <si>
    <t>YAN, Kun</t>
  </si>
  <si>
    <t>kunyan</t>
  </si>
  <si>
    <t>Young, Carson</t>
  </si>
  <si>
    <t>kashuncarson</t>
  </si>
  <si>
    <t>Yuan, Zuoting</t>
  </si>
  <si>
    <t>zuotingy</t>
  </si>
  <si>
    <t>Zhang, Andrew</t>
  </si>
  <si>
    <t>azzhan</t>
  </si>
  <si>
    <t>ZHANG, Ziang</t>
  </si>
  <si>
    <t>zianzhang1</t>
  </si>
  <si>
    <t>Zhao, Hongyu</t>
  </si>
  <si>
    <t>honzhao2</t>
  </si>
  <si>
    <t>ZHAO, Yang</t>
  </si>
  <si>
    <t>yanzhao11</t>
  </si>
  <si>
    <t>Zhou, Howie</t>
  </si>
  <si>
    <t>zhouhz2</t>
  </si>
  <si>
    <t>ZHU, Qing</t>
  </si>
  <si>
    <t>zhuqz4</t>
  </si>
  <si>
    <t>Student, Test</t>
  </si>
  <si>
    <t>0601e9d2fa303e1e0afb06cd93aa99cbb6db07f8</t>
  </si>
  <si>
    <t>Computational Differential Equations (MAST90026_2024_SM1)</t>
  </si>
  <si>
    <t>1a</t>
  </si>
  <si>
    <t>1b</t>
  </si>
  <si>
    <t>2a</t>
  </si>
  <si>
    <t>2bi</t>
  </si>
  <si>
    <t>2bii</t>
  </si>
  <si>
    <t>2c</t>
  </si>
  <si>
    <t>Total</t>
  </si>
  <si>
    <t>Late</t>
  </si>
  <si>
    <t>Notes</t>
  </si>
  <si>
    <t>1b. When using an existing result in a proof need to say what it is. 2: code is very dfficult to read, work on commenting. Also outputs are all returned to the command line which makes code difficult to use.</t>
  </si>
  <si>
    <t>Code readability could use a bit of work</t>
  </si>
  <si>
    <t>When using a standard result need to state what it is. The result you stated is not true for an arbitrary matrix M.</t>
  </si>
  <si>
    <t>Must label axes of plots so I know what you're plotting. Small note for 2c, u doesn't approach infinity as epsilon approaches 0 however u' does</t>
  </si>
  <si>
    <t>Need more info around condition number and why you are allowed to use this definition. You didn't calculate/approximate the order of accuracy</t>
  </si>
  <si>
    <t>Fantastic assignment!</t>
  </si>
  <si>
    <t>How do you get min(lambda^k) = pi^-2? Order of accuracy incorrect.</t>
  </si>
  <si>
    <t>1b: Need to define everything in your proof. For example, what is rho(A)? Also need to state how you get to the result that the norm is equal to the maximum eigenvalue. 2b: Your code doesn't use finite differences to solve the BVP. You need to formulate a linear system of equations (i.e., a matrix equation) which you then solve.</t>
  </si>
  <si>
    <t>1b: proof missing steps and very difficult to read. 2b: plots have no axes labels so I don't know what you're plotting (and you also haven't provided the total requested number of plots). Also, the language you are use throughout your assignment is inappropriate. You are submitting a piece of assessment at Masters level at university and you are expected to conduct yourself in a professional manner.</t>
  </si>
  <si>
    <t>1b: Proof is incomplete. If you are using existing results you need to state what they are.</t>
  </si>
  <si>
    <t>Plotting of exact solution is incorrect which has led you to some incorrect conclusions</t>
  </si>
  <si>
    <t>1a: Need to show your working. 1b: When using existing results need to state what they are and where they are from. 2b: Code is incorrect and doesn't solve problem using the correct finite difference scheme. Must label plots with axis labels and legends so I know what you are plotting. I also can't read your plot headings. 2c: Must justify your decision.</t>
  </si>
  <si>
    <t>2b: Code looks to be nearly correct but requires some more debugging as your solutions do not approximate the true solution.</t>
  </si>
  <si>
    <t>2c: Did you mean to say that central outperforms central upwind in most plots?</t>
  </si>
  <si>
    <t>2b: Plots need legends and axis labels so I know what you're plotting</t>
  </si>
  <si>
    <t>1a: Taylor expansion is not accurate for large k. 2b: Need to plot axis labels. 2c: conclusion not backed up by your results. Most of the time CFD outperforms CUFD</t>
  </si>
  <si>
    <t>1: Look at solutions to gauge the level of working I expect from derivations and proofs. 2: Order of accuracy notation used incorrectly. Need to justify your decision in 2c. I also can't run your code because of invalid file names. Don't use brackets in file names. Supress output to the command window using ; otherwise code is slow and difficult to use</t>
  </si>
  <si>
    <t>20% late penalty applied. 1b: Notation error using matrix norm. Also when using existing results make sure you state what they are. 2b: Looks like your code is nearly correct but requires some more debugging.</t>
  </si>
  <si>
    <t>1b. When using an existing result in a proof need to say what it is. Check errors for both schemes. You'll find central differencing is more accurate for all except eps = 0.0005</t>
  </si>
  <si>
    <t>1b: Some errors in your proof. 2b: Some errors in your numerical scheme. Code looks to be nearly there but requires a bit more debugging to get out correct solution</t>
  </si>
  <si>
    <t>2b: Your code looks to be nearly there. I think it's your implementation of the boundary conditions that's wrong.</t>
  </si>
  <si>
    <t>1b: Proof incorrect, also missing assumptions when using the definition of matrix norm. Couldn't run file q2b_2 since it had errors. Q2b.m looks to be nearly correct but just needs a bit more debugging to get the correct answer</t>
  </si>
  <si>
    <t>1b: Proof missing some steps. Avoid using symbolic variables in this course. They are slow and our purpose is to create efficient and fast numerical schemes.</t>
  </si>
  <si>
    <t>1b: you haven't actually proved the required result. Have a look at solutions for an example of a correct proof. 2b: code doesn't implement finite difference scheme correctly.</t>
  </si>
  <si>
    <t>Fantastic assignment! In future please submit plots separately (and at a resolution they are visible).</t>
  </si>
  <si>
    <t>Fantastic assignment! For your own security please also submit plots, just in case there is an issue running your code on my computer.</t>
  </si>
  <si>
    <t>1b: Proof nearly there, just needs to be analytic all the way to the end. 2b:  code looks to be nearly correct but requires a bit more debugging to get the correct solution.</t>
  </si>
  <si>
    <t>1b: Nearly there. Also need to bound from the other direction to show equality. Rest of assignment fantastic!</t>
  </si>
  <si>
    <t>Next time please zip all files together (i.e., don't submit PDF separately but include in zipped file). 1b: Missing steps and assumptions in proof. 2b: Your code doesn't run so I'm unable to assess it. for correctness.</t>
  </si>
  <si>
    <t>1b: When using an existing result in a proof need to say what it is. 2bi: Incorrect BC (RHS) in central difference scheme</t>
  </si>
  <si>
    <t>1b: When using an existing result in a proof need to say what it is.</t>
  </si>
  <si>
    <t>1i</t>
  </si>
  <si>
    <t>1ii</t>
  </si>
  <si>
    <t>2b</t>
  </si>
  <si>
    <t>Please submit ALL files in a SINGLE zip file</t>
  </si>
  <si>
    <t>Overall great. Remember plot labels and axes so I know what I'm looking at.</t>
  </si>
  <si>
    <t>Since your code doesn't work and you didn't submit any handwritten/typed working it's hard for me to give you many grades. Also please submit all files that you need for your code to run in the same folder (so that includes cheb.m). Please also submit plots in a separate document so I don't have to search through your code to try and generate them</t>
  </si>
  <si>
    <t>Your 2nd order scheme only has 1st order accuracy</t>
  </si>
  <si>
    <t>1ii: Error in your attempt at second order method is first order, looks like a mistake in the BC. 2b: Error should decrease as N is increased, suspect error is in your calculation of the norm since your solution looks right</t>
  </si>
  <si>
    <t>1ii: Solution only exhibits O(h). 2a: error should decrease for increasing N. 2b: error not calculated appropraitely since grid is not evenly spaced. 2c: incorrect</t>
  </si>
  <si>
    <t>1ii: No 2nd order scheme. -40% late penalty</t>
  </si>
  <si>
    <t>Submitted files did not run because of invalid filenames. Please be careful with future submissions that I can run them without modification. Must use plot labels/titles/etc so I know what I'm looking at. Please also submit all files needed for your code to run (i.e., cheb.m should be included in the submission). 2a: Solution not correct.</t>
  </si>
  <si>
    <t>Please only submit single PDF for all written work and figures. Assignment was difficult to mark as there were so many files without instruction about what they all were. 2a: solution incorrect. 2b: error calculated incorrectly 2c: Need to state change of coordinates is linear</t>
  </si>
  <si>
    <t>Please submit everything (i.e., both PDF and code) into a single zipped file</t>
  </si>
  <si>
    <t>Please structure your submission more logically. Only submit files which are needed and put all results (so both written and plots) into a single document. 2b: error not calculated</t>
  </si>
  <si>
    <t>Q1: Your code doesn't run so I'm unable to assess its correctness. Q2 your code also didn't run, however I was able to give you some marks for this part because it only required a small modification to get it working. In future be very careful that your code can actually execute before submitting.</t>
  </si>
  <si>
    <t>Q1: code gives incorrect solution and you haven't discussed anything about how you implemented the scheme so it's difficult for me to give you many marks. Q2a: again code doesn't give correct solution. Q2c: Need to discuss how you adjust computational domain</t>
  </si>
  <si>
    <t>Q1: Second order method appears to only be giving O(h) convergence. Suspect issue in implementing boundary condition. Q2: Collocation method not working correctly (issue with implementation of boundary conditions. Q2c: Haven't answered the question that was asked.</t>
  </si>
  <si>
    <t>Q1: Second order method appears to only be giving O(h) convergence. Suspect issue in implementing boundary condition. Q2b: Issue with numerical integration/quadrature. You tried to do 0/0 numerically which gives an error.</t>
  </si>
  <si>
    <t>Q1: Code for both i and ii doesn't run when number of elements is increased above 92. I suspect there is something strange going on with the s function. Q2b: You are multiplying instead of adding each point in the error calculation. My guess is this is why your error is unrealistically small.</t>
  </si>
  <si>
    <t>Fantastic work!</t>
  </si>
  <si>
    <t>Your solution for the error is correct (and I get exactly the same thing). What you are seeing is round-off error due to not being able to represent the solution to the linear system exactly using floating point arithmetic</t>
  </si>
  <si>
    <t>Q2b: Error should decay faster than your plot. Given your collocation scheme looks like it's working correctly I think your error calculation might be wrong</t>
  </si>
  <si>
    <t>Q1ii: Your error is scaling as O(h) for the ghost point method even though it should scale as O(h^2). Suspect error in implementing boundary condition.</t>
  </si>
  <si>
    <t>None of your codes produced the correct solution.</t>
  </si>
  <si>
    <t>Q1</t>
  </si>
  <si>
    <t>Q2</t>
  </si>
  <si>
    <t>Q3</t>
  </si>
  <si>
    <t>Q1: Dirichlet BC not encorporated correctly. Only 3 degrees of freedom. Q2: Again Dirichlet conditions not encorporated correctly</t>
  </si>
  <si>
    <t>Q2: Dirichlet condition not quite implemented correctly</t>
  </si>
  <si>
    <t>Q1: When implementing FEM we move all known quantities to the RHS of the linear system, i.e., should have 3x3 matrix. Q2: switched q to f part way through (I haven't subtracted any marks for this but be careful next time).</t>
  </si>
  <si>
    <t>Q1: You make reference to a derivation in Q3 but I don't see any derivation in your submission. Q2: You have derived the FEM equations, not the Galerkin equations. FEM is a subset of Galerking methods.</t>
  </si>
  <si>
    <t>Q1: You haven't done any derivation. Q2: Dirichlet condition not handled correctly, u not defined.</t>
  </si>
  <si>
    <t>Great observation about the loglog plot. This is one of their properties that makes them such a power tool.</t>
  </si>
  <si>
    <t>Q2: You state you need v(a)=0 which is incorrect, but then you (correctly) include it in your final answer. Dirichlet condition also not handled correctly.</t>
  </si>
  <si>
    <t>Q1: You still need to calculate integrals on E1 and E4 because your basis functions defined around x1 and x3 will be non-zero here. Q2: nearly there but you haven't quite considered the Dirichlet condition correctly. See my solution.</t>
  </si>
  <si>
    <t>Q1: You haven't used the information about the grid to define your linear system, everything is left unevaluated. Q2: Neither boundary condition handled correctly, see my solutions. Q3: Unfortunately you didn't quite get there with the code</t>
  </si>
  <si>
    <t>Q1: phi1 and phi3 not defined correctly. phi1 is non zero on [1/4,1/2] and phi3 nonzero over [1/2,3/4]. Q2: Dirichlet condition not quite handled correctly</t>
  </si>
  <si>
    <t>Q2: You haven't finished deriving the Galerkin equations (the hard work starts when you substitute all the things you've defined into your weak form). Q3: Unforunately your code doesn't solve the problem correctly and you haven't followed the approach demonstrated in class so I'm unable to give you many method marks.</t>
  </si>
  <si>
    <t>Q1: You haven't defined the linear system with the relevant parts removed. Q2: Dirichlet boundary condition not implemented correctly. Q3: You haven't solved for different values of N. I don't know what your plot is because the Max grid norm is a scalar for the whole domain, i.e., independent of x</t>
  </si>
  <si>
    <t>Q2: You actually need to do the bit you stated at the end and move all known quantities to the RHS.</t>
  </si>
  <si>
    <t>Q1: Need to evaluate F. Q2: There's no derivation here, just a couple of equations. Q3: Unfortunately your code doesn't solve the problem correctly and you haven't provided the code that generates your plots.</t>
  </si>
  <si>
    <t>In future please write on one side of the page because it's really hard to read your working with the writing on the other side leaking through (I haven't deducted any marks for this). Q2: You can just define phiN(b) = 1 and everything works out well. Q3: Suppress unnecessary output from being output to the command window as this slows down your code</t>
  </si>
  <si>
    <t>Submit all files in a single zip file. I'll start deducting marks for this from Assignment 1. Also number which question you are doing in your written work. Q2: There shouldn't be any equation for I = k since the coefficient of phi_k is known. Q3: Your function plothatfunc took 3 minutes to run on my computer and the output didn't seem to be anything useful. I'm not sure why you submitted this function.</t>
  </si>
  <si>
    <t>Q1: Just a small note, phi1 and phi5 are NOT in the trial space (as you stated in your first line). I haven't taken a mark off for this though since it's a fairly minor point and the rest of your solution was correct. Q2: Dirichlet condition not quite implemented correctly.</t>
  </si>
  <si>
    <t>Q2: BC's not handled correctly and since you haven't explained what you’re doing in your derivation it's hard to follow. Q3: Incorrect solution, error should approach zero</t>
  </si>
  <si>
    <t>Q2: BC's not handled correctly. Q3: You submitted code that didn't run, I had to modify the file names. There's also no error plot to verify whether your calculated solution is correct. Computed solution also incorrect.</t>
  </si>
  <si>
    <t>Late penalty -1. Q2: Dirichlet BC not quite handled correctly. Q3: Error should scale as h^2 (N^-2) so something has gone wrong in your code but at least you're getting the right solution.</t>
  </si>
  <si>
    <t>Q2: Neither BC handled correctly. Q3: Unfortunately code doesn't solve problem correctly but looks like you're getting close!</t>
  </si>
  <si>
    <t>Q1: Since you have Dirichlet BC's should only have a 3x3 system. Q2: Dirichlet BC not handled correctly</t>
  </si>
  <si>
    <t>Q2: You've assembled the finite element system not the Galerkin equations. Finite Element method is a subset of Galerkin methods.</t>
  </si>
  <si>
    <t>Q1: Your answer is correct and I've given you full marks for it however you've created a lot of extra work for yourself by not working in H^1_0 from the very start. Q2: You actually need to do the final paragraph of your answer, i.e., you haven't finished deriving the Galerkin equations for this problem.</t>
  </si>
  <si>
    <t>Q1: Question asked you to derive not solve using code. Q2: Variational form incorrect. Wrong sobolev space used. Dirichlet condition handled incorrectly.</t>
  </si>
  <si>
    <t>Q2: Dirichlet condition not implemented correctly</t>
  </si>
  <si>
    <t>Q2: BC's not handled correctly. Given basis not used in test space.</t>
  </si>
  <si>
    <t>Please submit ALL files (including PDF) in a single zip file. Q1: You haven't shown me how you derived any of these quantities and your formatting doesn't make any sense, and most quantities you haven't defined. Q2: You haven't submitted a derivation (which is what the question asked for). Q3: Your code doesn't solve the problem correctly.</t>
  </si>
  <si>
    <t>Q2: Dirichlet condition not implemented correctly. Q3: Just a note for next time, the code you submit to me should produce the plots you submit.</t>
  </si>
  <si>
    <t>Q2: Nearly there but BC's not quite incorporated correctly. Q3: Something unusual is going on with your code because when run for larger N the error doesn't continue to decrease</t>
  </si>
  <si>
    <t>Q1: Why did you add phi_0 and phi_4 to your solution. Q specifically stated to use phi_1, phi_2 and phi_3 only. Q2: Need to substitute your final line into weak form to get Galerkin equation</t>
  </si>
  <si>
    <t>Q2: Code produces an error</t>
  </si>
  <si>
    <t>Q2: Function definition in wrong form</t>
  </si>
  <si>
    <t>Q2: Function gives incorrect output</t>
  </si>
  <si>
    <t>Q2: No code submitted and even after I copied and pasted the code from your PDF it gives incorrect output</t>
  </si>
  <si>
    <t>Q2: f is a function not a constant</t>
  </si>
  <si>
    <t>Q2: Function gives incorrect output (but it's close so have a look and see if you can figure out what's going wrong)</t>
  </si>
  <si>
    <t>Q2: Function file name in incorrect form (function declaration must correspond to same file name otherwise function can't be called) and also incorrect output</t>
  </si>
  <si>
    <t>Q2: Output in incorrect order</t>
  </si>
  <si>
    <t>Q2: Function file name in incorrect form (function declaration must correspond to same file name otherwise. Function also only returns a single value function can't be called) and also incorrect output</t>
  </si>
  <si>
    <t>Q3: I think you might be a bit confused with which method is which. Newton's method uses finite differences for the derivatives. No need to do a fixed point iteration here</t>
  </si>
  <si>
    <t>Q2: Function definition in wrong form. Q3: Solution incorrect and no test for convergence</t>
  </si>
  <si>
    <t>Q2: Function/file name definition in wrong form. Q3: Solution incorrect</t>
  </si>
  <si>
    <t>Q3: Code gives error when evaluating. Once I fixed your code it produces the correct solution but plot is missing labels on axes. Your tolerance is also really small and near machine epsilon and so round off errors could very easily get you stuck in an infinite loop</t>
  </si>
  <si>
    <t>Q3: Code gives error when evaluating. Once I fixed your code it runs correctly.</t>
  </si>
  <si>
    <t>Q2: Fej should contain two values. Q3: Code produces incorrect result and I don't see any part of your code that iterates until solution is converged</t>
  </si>
  <si>
    <t>Late penalty -1. Q1: Question asked you to show not do a numerical calculation on a single case. Q2: You didn't submit a function with the required function declaration. Q3: Code produces incorrect result. I think it's just a small error potentially due to some incorrect signs.</t>
  </si>
  <si>
    <t>Q3: Incorrect solution. I think because your definition for F is wrong.</t>
  </si>
  <si>
    <t>Q3: I'm not sure what your Finite Difference Method plot is since you can't solve a non-linear equation using finite differences alone. Your curve for Newton Method is also incorrect, I think due to an incorrect definition of F</t>
  </si>
  <si>
    <t>Q2: Function gives incorrect output. Q3: Solution incorrect, I think due to incorrect Jacobian matrix</t>
  </si>
  <si>
    <t>Late penalty -1.</t>
  </si>
  <si>
    <t>Q3: Be aware that your code is inefficient for large systems. Best to only use anonymous functions for low dimensional functions</t>
  </si>
  <si>
    <t>Q1ii: Solution incorrect. Q2a cheb.m not included in submissions. Assignment explicitly states "include all necessary files for your program to run". Q2b: code does not run due to error.</t>
  </si>
  <si>
    <t>On your second attempt you still didn't submit all the code needed for you programs to run. Unfortunately I cannot give you another submission attempt and will not be changing your grade. Q1ii: Your second order solution appears to only have first order accuracy (although I can't verify this since I don't have your code).</t>
  </si>
  <si>
    <t>Q4</t>
  </si>
  <si>
    <t>Q5</t>
  </si>
  <si>
    <t>Q6</t>
  </si>
  <si>
    <t>Jesse</t>
  </si>
  <si>
    <t>Hailong</t>
  </si>
  <si>
    <t>Attendance</t>
  </si>
  <si>
    <t>Code</t>
  </si>
  <si>
    <t>Q2: Assignment specifies cheb(N) not cheb(N-1) so code does not evaluate correctly. Even after attempting to debug I still couldn't get it to run correctly.</t>
  </si>
  <si>
    <t>Q3: Solution incorrect</t>
  </si>
  <si>
    <t>Q4: I suspect something has gone wrong with FEM (CGL nodes)  since there's nothing that should stop this converging as N increases.</t>
  </si>
  <si>
    <t>Q4: Since the decay for spectral collocation is not expected to be polynomial reporting (and comparing to) the slope of the loglog plot is not particularly meaningful. You'd see this more clearly if you filled in your figure 6 with a few more points.</t>
  </si>
  <si>
    <t>Q4: Since the decay for spectral collocation is not expected to be polynomial reporting (and comparing to) the slope of the loglog plot is not particularly meaningful.</t>
  </si>
  <si>
    <t>Q1: Didn't submit your code. Q2: Code produces incorrect solution. Q4: Should see spectral convergence when using collocation</t>
  </si>
  <si>
    <t>Q1: Code doesn't evaluate correctly. Q4: Spectral collocation not converging as fast as it should.</t>
  </si>
  <si>
    <t>Q2: Function not defined as asked for in assignment. After debugging solution still incorrect. Q3: Inputs not in form as specified in assignment. After debugging code still doesn't produce correct output. Q4: Spectral collocation not decaying as fast as it should otherwise question is all good!</t>
  </si>
  <si>
    <t>Q2: Code needed debugging to run and then didn't produce correct results after I got it running. Q4: Your observation 2 is not quite correct. Nearly every method (including FEM) has the turning point you observed with collocation. You just didn't run FEM to a small enough discretisation to see it.</t>
  </si>
  <si>
    <t>Q4: Overall good but you haven't put enough points in the spectral collocation plots to observe the trends.</t>
  </si>
  <si>
    <t>Q1: Can't assume D(x) = 1, D(x) is arbitrary. Q2: Function definition not in form as given in assignment. After debugging, code still didn't run correctly. Q4: Good attempt here and it's great that you hypothesised even though you couldn't get your collocation code working correctly. Your conclusion about CGL and small p is not correct since the function varies rapidly around x = 0 which is exactly where CGL places the least points.</t>
  </si>
  <si>
    <t>Q1: Code doesn't evaluate correctly. Q2: Error not decaying as fast as it should for collocation so something is wrong somewhere. Q4: O(N) and O(N^2) means error would increase as N increases. I think you mean O(N^-1) and O(N^-2). Also your plots show FEM has O(N^-2) convergence. Collocation also not converging as fast as it should.</t>
  </si>
  <si>
    <t>Q1: Something strange is happening with your endpoint but I haven't penalised for this since it's minor. Q2: Doesn't decay as fast as collocation should so something is wrong somewhere. Q3: Code producing incorrect solution. Q4: You haven't submitted your plots. When I ran your code it showed the results weren't converging (which you could have got extra marks for if you had discussed).</t>
  </si>
  <si>
    <t>Q1: Incorrect, check solutions. Q2: Code took a fair bit of debugging to get working and then still produced incorrect results. Q3: Error doesn't scale correctly with h so something is wrong somewhere. Q4: Collocation not converging as fast as it should. You should get spectral convergence which is exponential decay. Q5: Your plot shows the solution diverges as N increases. They would be getting closer together if they were converging.</t>
  </si>
  <si>
    <t>Q1: Code doesn't evaluate correctly. Q2: Code produces error. Q4: Need more discussion. You can also see clearly from your graphs that your spectral collocation is not converging. You would have got more marks if you'd discussed this! Q6: You haven't submitted your working for rescaling the problem. Also remember to always put labels on your axes!</t>
  </si>
  <si>
    <t>Q1: Code doesn’t evaluate correctly. Q2: Function not defined as per assignment and after correcting code still doesn't evaluate. Q3: Function not defined as assignment specifies. Q4: No discussion of results and incorrect solutions. Note, you could have got some more marks here if you had discussed how your code was not behaving as expected. Q6: You didn't submit any written work for this question. Assignment asked for derivation and discussion of results.</t>
  </si>
  <si>
    <t>Q2: Error doesn't decay as fast as it should for collocation so something is going wrong somewhere. Q4: Again, collocation not decaying as fast as it should otherwise good discussion! Q6: You didn't rescale x as assignment requested.</t>
  </si>
  <si>
    <t>Q2: BC handled incorrectly. Q4: Great, you're the only person so far who has recognised that the slowly decaying error in spectral collocation is due to using a backwards difference. Q6: Should have L^2 not L in BVP. You also then should only solve over the domain [0, 1].</t>
  </si>
  <si>
    <t>Q1: Missing negative sign in derivation and code doesn't evaluate correctly. Q4: Something weird is going on with your FEM results on evenly spaced points. Q6: You didn't finish your working showing what the BVP maps to under the rescaling. Assume this is what leads to the errors in your solution.</t>
  </si>
  <si>
    <t>Q2: Function not defined as asked for in assignment. After debugging solution still incorrect. Q3: Code not producing correct solution. Q4: Error plots should decay trending towards zero and your's don't. If you had recognised that your code wasn't working and giving incorrect results you would have got more marks. Q6: You haven't rescaled the domain as assignment specified.</t>
  </si>
  <si>
    <t>Q4: Discussion is too short. Q6: Nothing submitted.</t>
  </si>
  <si>
    <t>Q2: Function not defined as asked for in assignment. After debugging solution still incorrect. Q3: Code not producing correct solution. Q4: Error plots should decay trending towards zero and your's don't. If you had recognised that your code wasn't working and giving incorrect results you would have got more marks. Q6: Your discussion doesn't make much sense. All solutions are clearly unstable, if solution is unstable there is nothing to compare.</t>
  </si>
  <si>
    <t>Q2: Assignment specifies cheb(N) not cheb(N-1) so code does not evaluate correctly. Even after attempting to debug I still couldn't get it to run correctly. Q4: Need much more discussion but results otherwise correct. Q6: Small mistake in your derivation. What is the x axis on your plots (always label your plots)</t>
  </si>
  <si>
    <t>In MATLAB file name of a function must be the name of the function. Q1: Missing minus sign in derivation. Q2: Code produces incorrect solution. Q4: No discussion and results are incorrect. Q6: No discussion and code doesn't evaluate correctly.</t>
  </si>
  <si>
    <t>Q4: Great discussion. One small point, Chebyshev points can also be refined through subdivision so that part of your discussion isn't correct however I haven't penalised you for this since it's quite a subtle point. Q6: You've returned a solution that isn't converged but because you haven't checked for convergence you haven't recognised this</t>
  </si>
  <si>
    <t>Q1: Code doesn’t evaluate correctly. Q3: Don't output huge matrices to command line. It makes code impractical to run. Q4: You haven't mentioned that spectral collocation is (by your plots) up to 9 orders of magnitude more accurate than FEM. You also haven't plotted spectral collocation in the regime where it is typically used (small number of points). Q6: You haven't submitted your rescaling of the BVP.</t>
  </si>
  <si>
    <t>Q1: You've missed the negative sign in your code (compare your code to your derivation). Q2: Code produces incorrect result. Q3: Code produces incorrect result. Q4: Your error plots are not converging. If you had recognised your solution was incorrect I would have given some more marks here. Q5: Your results appear to be diverging as N increases. Q6: It looks like you've only performed one iteration of Newton's method so your results haven't converged.</t>
  </si>
  <si>
    <t>In MATLAB file name of a function must be the name of the function. Q1: You haven't submitted any derivation and your result is incorrect. Q2: Function doesn't run and after debugging still produced incorrect output. Q3: Code produces incorrect result. Q4: You didn't submit any discussion and your plots are all empty when I run your code. Q5: You haven't tried to verify convergence. Q6: You haven't submitted any written work and your code produces incorrect solution.</t>
  </si>
  <si>
    <t>Q1: Code doesn’t evaluate correctly. Q2: Code needed debugging to run and then didn't produce correct output after I got it running. Q3: Code produces incorrect solution. Q4: You get a mark for being the only person so far who has recognised their results are wrong rather than trying to convince me clearly wrong results are converging. Q5: Submitted file was empty. Q6: Good attempt, code isn't quite working correctly but at least you recognise when it hasn't converged.</t>
  </si>
  <si>
    <t>Names of function not as specified in assignment. Q1: Incorrect, check solutions. Q2: Code needed debugging to run and then didn't produce correct results after I got it running. Q3: Code produces incorrect solution. Q4: Approaching 1 means your code is NOT converging. Q6: Look at the magnitude of the results in your plots. You've just recovered the trivial solution. All you had to do was change the initial guess and your code produces the correct results.</t>
  </si>
  <si>
    <t>Q3: Code producing incorrect solution. Q6: You haven't rescaled the domain like assignment states.</t>
  </si>
  <si>
    <t>Q4: You don't get Runge's phenomenon with finite element method because we are only fitting to linear polynomials. Runge's phenomenon occurs when fitting a high order polynomial. Q6: No discussion of results.</t>
  </si>
  <si>
    <t>Q2: Be careful of function names because MATLAB is case sensitive. Solution also incorrect. Q4: Discussion needed to be a little more in depth. Plots are also confusingly labelled. What does x mean on the horizontal axis? And BVP could be any method since all the methods you use solve BVPs. Q6: Look at the magnitude of the solution on your plots. You have only found the trivial solution.</t>
  </si>
  <si>
    <t>Q1: Code doesn't evaluate correctly. Q2: Code produces incorrect answer. Q4: Overall good. Collocation error not decreasing as fast as it should. Q6: Look at the magnitude of the solutions on your plot. You have just recovered the trivial solution. All you had to do was change the initial guess and you would have found the correct solution.</t>
  </si>
  <si>
    <t>Q4: Need more of a discussion, e.g., rate of decay. A few more points in the collocation plots would help you see the trend. Q6: No written work submitted.</t>
  </si>
  <si>
    <t>Q3: Code producing incorrect solution. Q4: Some of your Q4 files don't run. No discussion of results submitted. Q6: No discussion of results.</t>
  </si>
  <si>
    <t>Q2: Code produces incorrect solution. Q3: Code produces incorrect solution. Q4: Need more in depth discussion. Collocation error plot is also not a log log plot as assignment asked for. Q6: You haven't rescaled the domain of the BVP like the assignment asked.</t>
  </si>
  <si>
    <t>Q1: Need to consider arbitrary D(x), i.e., can't set it to 1. Q2: Code not in correct form as assignment asks for and BC's applied at wrong locations but after correcting for this code evaluates correctly. Q3: Code evaluates now but shape of solution not quite right (although closer now!). Q4: Code runs now but still gives incorrect results and you haven't submitted any discussion. Q5: I still couldn't make this code work. Q6: You haven't submitted any written work. Code also produces incorrect solution.</t>
  </si>
  <si>
    <t>Q2: (c) your results are consistent with theory! See statement in my solutions.</t>
  </si>
  <si>
    <t>Q2: (a) incorrect output. (b) looks like a small error in implementation of BC. Q3: So close! I think the error is due to the missing negative sign in front of u''.</t>
  </si>
  <si>
    <t>Q2: (a) incorrect result for 3 point linear quadrature (c) Need a discussion of the error. Q3: Code doesn't run and I don't see any iteration in the code.</t>
  </si>
  <si>
    <t>Q3: Derivation needs more detail. Your iteration is not correct. You should iterate until converged, not a fixed number of times.</t>
  </si>
  <si>
    <t>Q2: (a) incorrect solution. Q3: Code hasn't quite converged to correct solution.</t>
  </si>
  <si>
    <t>Q2: (a) incorrect and inputs not in form of Week 6 lab resources. (c) error not decaying as it should. Q3: No code. Q4: Your derivation doesn't make much sense. You're integrating the boundary condition over the entire domain. Q5: No submission</t>
  </si>
  <si>
    <t>Q5: Q asked for exact integration not quadrature.</t>
  </si>
  <si>
    <t>Q2: (a) linear quadrature incorrect. (b) code throws error because you called functions you didn't submit. After I debugged your code it runs correctly. (c) Your code only works when m=2n and you havne't compared the different quadrature schemes. (d) you haven't shown this solution. Q3: Not quite there, have a look at my code. Q4: Need to work on how to present a derivation. Q5: No submission.</t>
  </si>
  <si>
    <t>Q2: (a) incorrect output. Q5: Q asked for exact integration not quadrature.</t>
  </si>
  <si>
    <t>Q1: Error should be order 2 in both hx and hy. Q2: Error for 2nd order quadrature should also be order 2 so you've done something to make it decay faster than it should. Q3: Correct code but you haven't submitted the derivation. Q4: Haven't dealth with the basis functions correctly.</t>
  </si>
  <si>
    <t>Q4: Undefined symbols appearing throughout your derivation.</t>
  </si>
  <si>
    <t>Q1: No discussion of error. Q2: (a) incorrect result. (b) subtract one mark for incorrect original submission. (c) No discussion of error. Q3: No code. Q4: Need significantly more detail in your derivation. Q5: (c) no submission</t>
  </si>
  <si>
    <t>Q1: I'm also not sure what is going on with your error but think it might be in calculating your error not in your finite difference code. Q2: Looks like you've nearly got your code working but it's not quite giving the correct solution. Great that you were able to recognise from the error that it wasn't working though, you've picked up marks for this. Q3: You haven't used quasilinearisation. Q4: (c) some small mistakes in evaluating the stiffness matrix</t>
  </si>
  <si>
    <t>Q1: Nearly there, just needed a little more on the error analysis. Q2: (a) incorrect result. Looks like your code is nearly there but not quite the correct solution yet. Q3: You've got the correct derivation, I can't find any code that runs 'quasilin' though. Q4: No submission. Q5: Could barely read your submission and it's incomplete.</t>
  </si>
  <si>
    <t>Q1: Something wrong with your error calculation because your finite difference codes evaluate correctly. Q2: (a) linearly accurate 3 point scheme not giving correct result. (c) your plots show solution diverges as h decreases. Q4: Need more detail and also only half way through derivation. Q5: (c) small mistake in evaluating stiffness matrix</t>
  </si>
  <si>
    <t>Q1: Something wrong with your error calculation because your finite difference codes evaluate correctly. Q3: Code doesn't evaluate. Q4: Question said not to make any assumptions about form of basis (i.e., it's not necessarily a nodal basis). Q5: (c) Mistakes in evaluating load vector and stiffness matrix</t>
  </si>
  <si>
    <t>Q2: (a) incorrect results. (c) need to discuss order of error. Q4: Only half way through derivation. Q5: (c) No submission.</t>
  </si>
  <si>
    <t>Q2: (a) inputs not in form of Week 6 lab resources and linearly accurate 3 point scheme incorrect. (b) code produces error but after I debugged it worked. (c) didn't discuss order of error. Q3: You haven't submitted a derivation, just the answer. Code doesn't run. Q4: Your derivation needs significantly more detail. Q5: (c) Stiffness matrix incomplete.</t>
  </si>
  <si>
    <t>Q1: You didn’t provide any code to run your submissions or any plots or discussion or errors. I also couldn't get code to run. Q2: Code not in format asked for by assignment. (b) you have to define a, b, c and d. Once I debugged this your code worked correctly. (c) no discussion of error. Q3: You haven't submitted any code that runs ASS2Q3 or any results. Q4: Question said not to make any assumptions about form of basis (i.e., it's not necessarily a nodal basis). Q5: (c) incomplete.</t>
  </si>
  <si>
    <t>Q1: Looks like your finite difference code is evaluating correctly but something is up with your error calculation in b. Q2: (a) linearly accurate 3 point rule not correct. (c) haven't discussed order of accuracy. Q4: No submission. Q5: (c) incomplete.</t>
  </si>
  <si>
    <t>Q4: Derivation needs more detail.</t>
  </si>
  <si>
    <t>Q2: (a) issue with elem_stiff. It takes single vector when quad_order = 1 and two inputs when quad_order = 2. Q5: (c) incomplete.</t>
  </si>
  <si>
    <t>Q1: Codes haven't converged. Q2: (a) incorrect outputs. (b) looks like it's nearly there but a few more bugs to iron out. Q3: Code not quite there but derivation correct, good attempt! Q4: Derivation just needs a little bit more explanation as you go. Q5: (a) I'm not sure why there are symbolic variables in your matrices which should just be numeric quantities. (c) incomplete.</t>
  </si>
  <si>
    <t>Q1: Your solution hasn't converged and you haven't implemented finite element method as taught in class. Q2: (a) code doesn't run because it doesn't take inputs exactly as defined in the Week 6 lab resources. You also haven't subitted any plots or discussion so it's hard to give you many marks here since I can't even get your code to run. Q3: You haven't solved the problem the question asked. Q4: Your derivation doesn't make much sense. You have integrated a boundary condition over the entire domain. Q5: Mostly incorrect, look at my solutions.</t>
  </si>
  <si>
    <t>Q3: So close! Q4: Derivation not finished. Q5: (c) mistake in stiffness matrix.</t>
  </si>
  <si>
    <t>Q2: (a) incorrect outputs. Q3: Derivation is correct but this isn't the method you've coded up. Q4: Nearly there but no need for an affine condition since we don't know the value of u on the boundary.</t>
  </si>
  <si>
    <t>Q2: (a) linearly accurate 3 point rule not correct. Q3: Hasn't converged but getting close! Q4: Your derivation doesn't make much sense. You have integrated a boundary condition over the entire domain. Q5: Some mistakes here, have a look through my solutions.</t>
  </si>
  <si>
    <t>Q1: Error should be order 2 in both x and y discretisation so there must be some small error but you could the codes to converge which is great! Q2: (a) linearly accurate 3 point rule incorrect. Your claim is correct provided that the quadrature rule has at least the accuracy of the basis functions used. E.g., if we used quadratic basis functions we'd need at least quadratically accurate quadrature. Q3: Good attempt but not quite there. Q5: (c) some mistakes in evaluation of the stiffness matrix.</t>
  </si>
  <si>
    <t>Q1: No discussion of error. Q2: (a) linearly accurate 3 point quadrature incorrect. (c) linear basis functions can only ever have order 2 accurate FEM so your statement on line 103 of q2c.m. Q5: rectangle_map not implemented correctly. (c) some mistakes in the calculations.</t>
  </si>
  <si>
    <t>Q1: Convergence should be order 2 so either small mistake in code or in error calculation. Q2: (a) linearly accurate 3 point scheme incorrect. (c) error should have order 2 convergence. Q3: Derivation correct but code not quite there. Q4: There's some issues with the typesetting of your document. Q5: (a) no code submitted.</t>
  </si>
  <si>
    <t>Q1: Your solution hasn't converged and you haven't implemented finite element method as taught in class. Q2: Incorrect finite element scheme. Q3: Derivation correct but code not giving correct solution. Q4: Your derivation doesn't make much sense. You have integrated a boundary condition over the entire domain. Q5: (c) calculated matrices incorrect.</t>
  </si>
  <si>
    <t>Q1: Codes haven't converged. Q2: (a) linearly accurate 3 point scheme incorrect. (c) convergence is polynomial, not exponential. Q3: You haven't submitted a derivation and code doesn't converge to correct solution. Q5: (c) Matrices incorrect.</t>
  </si>
  <si>
    <t>Q1: Your code for b is converging extremely slowly so there must be an error somehwere. Q2: (a) linearly accurate 3 point scheme incorrect. (b) code doesn't quite evaluate correctly on the test problem. Q3: Derivation correct but code doesn't run due to error. Q4: Your missing a term from the governing elliptic equation otherwise all correct. Q5: (c) No submission.</t>
  </si>
  <si>
    <t>Q5: (c) Haven't quite finished stiffness matrix calculation.</t>
  </si>
  <si>
    <t>H1</t>
  </si>
  <si>
    <t>H2A</t>
  </si>
  <si>
    <t>H2B</t>
  </si>
  <si>
    <t>Grade</t>
  </si>
  <si>
    <t>Letter</t>
  </si>
  <si>
    <t>H3</t>
  </si>
  <si>
    <t>P</t>
  </si>
  <si>
    <t>Q1:</t>
  </si>
  <si>
    <t>Q2:</t>
  </si>
  <si>
    <t>Q3:</t>
  </si>
  <si>
    <t>Q4:</t>
  </si>
  <si>
    <t>Code comments</t>
  </si>
  <si>
    <t>Code good but fairly basic</t>
  </si>
  <si>
    <t>Code wasn't actually submitted only shown on slides</t>
  </si>
  <si>
    <t>Code good but not that complicated</t>
  </si>
  <si>
    <t>Code good but fairly similar to what we did in class</t>
  </si>
  <si>
    <t>Left it to the last minute to figure out the coding part and it showed because it was incomplete.</t>
  </si>
  <si>
    <t>Q2: Good observation about the point, you get extra marks for that. You just needed to do something about it to resolve the issue!</t>
  </si>
  <si>
    <t>Q3: Try some negative constant initial conditions to see other behaviour.</t>
  </si>
  <si>
    <t>Q2: It was hard to interpret your results and you didn't submit any description of them. There is also no discussion of the values of p and q in the error analyses. Codes also not giving the correct solution. Q3: No submission. Q4: No submission.</t>
  </si>
  <si>
    <t>No submission.</t>
  </si>
  <si>
    <t>Q2: TR-BDF2 scheme not working and haven't found order of accuracy. Q3: Incorrect boundary conditions. Q4: Good attempt, have a look at my solutions.</t>
  </si>
  <si>
    <t>Q2: You're so close, you'll notice that your error is plateauing around 1.5. I think the reason for this is that your missing the h in your calculation of the grid norm. Q4: Great attempt, need a bit more in (d).</t>
  </si>
  <si>
    <t>Q1: Have not written out equations modified by BCs. Plotted exact solution incorrect (does not encorporate BCs). Q2: Need a bit more information in your explanation. Q3: Your conclusions don't match your submitted results. Q4: Your written work needs some attention. You have to use words when doing derivations and calculations so someone else can follow what you're doing.</t>
  </si>
  <si>
    <t>Q2: Nearly there! Q3: Try some negative constant initial conditions to see other behaviour. Q4: no submission for (d).</t>
  </si>
  <si>
    <t>Q1: Haven't explicitly written out the equations modified by the boundary conditions for each method. Q2: Haven't discussed the actual p and q values. Q4: Good attempt, check out my solutions. No submission for (d).</t>
  </si>
  <si>
    <t>Q2: Haven't discussed the actual p and q values. Q3: Incorrect implementation of Neumann boundary condition. Q4: Good attempt, have a look at my solutions.</t>
  </si>
  <si>
    <t>Q2: Haven't found all the correct p and q values. Q3: Nuemann bc implemented incorrectly. Also try some negative constant initial conditions to see other behaviour. Q4: Good attempt, have a look at my solutions.</t>
  </si>
  <si>
    <t>Q2: Codes not producing the correct solution and incorrect values of p and q. Q3: Dirichlet boundary condition not implemented correctly. Also try some negative constant initial conditions to see other behaviour. Q4: Good attempt, have a look at my solutions.</t>
  </si>
  <si>
    <t>Q2: Neither code producing correct solution. Q3: Try some negative constant initial conditions to see other behaviour. Q4: no submission for (d).</t>
  </si>
  <si>
    <t>Q1: Plotted exact solution incorrect (does not encorporate BCs). Q3: Try some negative constant initial conditions to see other behaviour. Q4: Your written work needs some attention. You have to use words when doing derivations and calculations so someone else can follow what you're doing.</t>
  </si>
  <si>
    <t>Q3: Dirichlet boundary condition not implemented correctly, you don't say what the steady state solution is, and you haven't found any examples where it doesn't approach this steady state. Q4: Incomplete, look at my solutions.</t>
  </si>
  <si>
    <t>Q2: Nearly there but incorrect conclusion about accuracy wrt k. Q3: Try some negative constant initial conditions to see other behaviour. Q4: No submission.</t>
  </si>
  <si>
    <t>Q2: TR-BDF2 shouldn't be unstable so there must be an issue in your code. Also incorrect order of accuracy. Q3: Try some negative constant initial conditions to see other behaviour. Q4: Good attempt, not quite there so have a look at my solutions.</t>
  </si>
  <si>
    <t>Q2: You haven't quite got the implementation correct however good job for recognising your results didn't make sense. Q3: You havne't implemented the dirichlet condition correctly for part (b). See how your solutions don't satisfy the given bc. Q4: Good attempt, not quite there so have a look at my solutions.</t>
  </si>
  <si>
    <t>Q1: You haven't implemented the method as discussed in class and your results are incorrect so it is hard to figure out if your method could have worked. You also haven't discussed or shown any results in the cases where the method is unstable. Q2: Your code doesn't produce the correct solution. Q3: You haven't implemented the boundary conditions correctly and you haven't attempted any discussion on what the steady state actually is. Q4: Decent attempt but not quite there. Have a look at the solutions.</t>
  </si>
  <si>
    <t>Q2: Great work, nearly there except q should be 2 for both methods. Q3: Fantastic! You are one of the few people who picked up on the negative growth aspect. Q4: Great work, (d) not quite complete.</t>
  </si>
  <si>
    <t>Q2: Codes producing incorrect solution. Your written work also doesn't have a derivation, just a result. Q3: You've implemented the boundary conditions incorrectly. Q4: Good attempt, not quite there so have a look at my solutions.</t>
  </si>
  <si>
    <t>Q2: Nearly there! Incorrect value of p for TR-BDF2. Q3: Boundary conditions implemented incorrectly and you haven't identified the steady state solution. Q4: Good attempt, not quite there so have a look at my solutions.</t>
  </si>
  <si>
    <t>Q2: Codes producing incorrect solution. Q3: Just needed a little bit more discussion. Q4: Good start, have a look at the solutions to where to go.</t>
  </si>
  <si>
    <t>Q3: Try some negative constant initial conditions to see other behaviour. Q4: Just a bit more work to go on (d).</t>
  </si>
  <si>
    <t>Q1: Your plots need some work. You also needed a bit more detail in your discussion. You didn't say anything about how the square pulse exhibits Gibbs phenomenon when using LxW. Q3: Boundary conditions implemented incorrectly. Q4: Good attempt, not quite there so have a look at my solutions.</t>
  </si>
  <si>
    <t>Q3: One of your results does not satisfy the Dirichlet BC and it has effected your conclusions. Q4: Great attempt, just some small errors and a bit more detail needed in (d).</t>
  </si>
  <si>
    <t>Q1: Need more discussion. Q3: Try some negative constant initial conditions to see other behaviour. Q4: Good start but a fair bit to go. Have a look at my solutions.</t>
  </si>
  <si>
    <t>Q3: Try some negative constant initial conditions to see other behaviour. Q4: Need a bit more detail in (c) and (d).</t>
  </si>
  <si>
    <t>Q1: You haven't run the simulations for the correct length of time because your values of nu are not based on your values of dx and dt (which they are supposed to be). Q2: Both codes produce an incorrect solution. Q3: Two of your results do not satisfy the Dirichlet BC and it has effected your conclusions. Q4: Decent attempt but not quite there. Have a look at the solutions.</t>
  </si>
  <si>
    <t>Q3: Try some negative constant initial conditions to see other behaviour. Q4: Just need a bit more detail in (d).</t>
  </si>
  <si>
    <t>Q3: Try some negative constant initial conditions to see other behaviour. Q4: Good start, have a look at the solutions to where to go.</t>
  </si>
  <si>
    <t>Q1: Need significantly more detail in your discussion. Q3: One of your results does not satisfy the Dirichlet BC and it has effected your conclusions. Q4: Good work but (d) needs substantially more detail.</t>
  </si>
  <si>
    <t>Q1: Need a more detail in your discussion. Q2: You haven't derived the formula for q, just written it down. Q3: You haven't actually stated what the steady state solution is. Q4: Good work but (d) needs substantially more detail.</t>
  </si>
  <si>
    <t>Q1: Incorrect conclusion and too brief. Plot of exact solution is also incorrect because you haven't encorported the boundary condition. Q3: Try some negative constant initial conditions to see other behaviour. Q4: Your written work needs some attention. You have to use words when doing derivations and calculations so someone else can follow what you're doing.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</si>
</sst>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txData>
          <cx:v>Distribution of grades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Distribution of grades</a:t>
          </a:r>
        </a:p>
      </cx:txPr>
    </cx:title>
    <cx:plotArea>
      <cx:plotAreaRegion>
        <cx:series layoutId="clusteredColumn" uniqueId="{9BCB695E-A16A-1C49-A7E1-0AAFC77A7E81}">
          <cx:tx>
            <cx:txData>
              <cx:f>_xlchart.v1.1</cx:f>
              <cx:v/>
            </cx:txData>
          </cx:tx>
          <cx:dataPt idx="2"/>
          <cx:dataPt idx="3"/>
          <cx:dataId val="0"/>
          <cx:layoutPr>
            <cx:binning intervalClosed="r" underflow="49">
              <cx:binSize val="5"/>
            </cx:binning>
          </cx:layoutPr>
        </cx:series>
      </cx:plotAreaRegion>
      <cx:axis id="0">
        <cx:catScaling gapWidth="0"/>
        <cx:tickLabels/>
        <cx:numFmt formatCode="#,##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17</xdr:col>
      <xdr:colOff>755650</xdr:colOff>
      <xdr:row>11</xdr:row>
      <xdr:rowOff>50800</xdr:rowOff>
    </xdr:from>
    <xdr:to>
      <xdr:col>23</xdr:col>
      <xdr:colOff>374650</xdr:colOff>
      <xdr:row>26</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22D3B78-B53E-134F-C2F9-E8EEF27A1C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789150" y="22860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
  <sheetViews>
    <sheetView tabSelected="1" workbookViewId="0">
      <selection activeCell="A18" sqref="A18:XFD18"/>
    </sheetView>
  </sheetViews>
  <sheetFormatPr baseColWidth="10" defaultRowHeight="16" x14ac:dyDescent="0.2"/>
  <cols>
    <col min="7" max="9" width="10.83203125" customWidth="1"/>
  </cols>
  <sheetData>
    <row r="1" spans="1:20" x14ac:dyDescent="0.2">
      <c r="A1" t="s">
        <v>0</v>
      </c>
      <c r="B1" t="s">
        <v>1</v>
      </c>
      <c r="C1" t="s">
        <v>2</v>
      </c>
      <c r="D1" t="s">
        <v>3</v>
      </c>
      <c r="E1" t="s">
        <v>4</v>
      </c>
      <c r="F1" t="s">
        <v>5</v>
      </c>
      <c r="G1" t="s">
        <v>6</v>
      </c>
      <c r="H1" t="s">
        <v>306</v>
      </c>
      <c r="I1" t="s">
        <v>307</v>
      </c>
      <c r="J1" t="s">
        <v>7</v>
      </c>
      <c r="K1" t="s">
        <v>8</v>
      </c>
      <c r="L1" t="s">
        <v>9</v>
      </c>
      <c r="M1" t="s">
        <v>10</v>
      </c>
      <c r="N1" t="s">
        <v>11</v>
      </c>
      <c r="O1" t="s">
        <v>12</v>
      </c>
      <c r="P1" t="s">
        <v>13</v>
      </c>
      <c r="Q1" t="s">
        <v>14</v>
      </c>
    </row>
    <row r="2" spans="1:20" x14ac:dyDescent="0.2">
      <c r="A2" t="s">
        <v>15</v>
      </c>
      <c r="F2" t="s">
        <v>16</v>
      </c>
      <c r="G2">
        <f>J2+K2+L2+M2+N2+O2+P2+Q2</f>
        <v>100</v>
      </c>
      <c r="J2">
        <f>'Homework 1'!C2</f>
        <v>5</v>
      </c>
      <c r="K2">
        <f>'Homework 2'!C2</f>
        <v>5</v>
      </c>
      <c r="L2">
        <f>'Homework 3'!C2</f>
        <v>5</v>
      </c>
      <c r="M2">
        <f>'Homework 4'!C2</f>
        <v>5</v>
      </c>
      <c r="N2">
        <f>'Assignment 1'!C2</f>
        <v>20</v>
      </c>
      <c r="O2">
        <f>'Assignment 2'!C2</f>
        <v>20</v>
      </c>
      <c r="P2">
        <f>'Assignment 3'!C2</f>
        <v>20</v>
      </c>
      <c r="Q2">
        <f>Presentation!C2</f>
        <v>20</v>
      </c>
    </row>
    <row r="3" spans="1:20" x14ac:dyDescent="0.2">
      <c r="A3" t="s">
        <v>17</v>
      </c>
      <c r="B3">
        <v>279200</v>
      </c>
      <c r="C3">
        <v>1370675</v>
      </c>
      <c r="D3" t="s">
        <v>18</v>
      </c>
      <c r="E3" t="s">
        <v>19</v>
      </c>
      <c r="F3">
        <v>1370675</v>
      </c>
      <c r="G3">
        <f>J3+K3+L3+M3+N3+O3+P3+Q3</f>
        <v>74.25</v>
      </c>
      <c r="H3">
        <f>_xlfn.CEILING.MATH((G3))</f>
        <v>75</v>
      </c>
      <c r="I3" t="str">
        <f>IF(H3&gt;=80,"H1",IF(H3&gt;=75,"H2A",IF(H3&gt;=70,"H2B",IF(H3&gt;=65,"H3",IF(H3&gt;=50,"P","N")))))</f>
        <v>H2A</v>
      </c>
      <c r="J3">
        <f>'Homework 1'!C3</f>
        <v>4</v>
      </c>
      <c r="K3">
        <f>'Homework 2'!C3</f>
        <v>1.75</v>
      </c>
      <c r="L3">
        <f>'Homework 3'!C3</f>
        <v>4.25</v>
      </c>
      <c r="M3">
        <f>'Homework 4'!C3</f>
        <v>4</v>
      </c>
      <c r="N3">
        <f>'Assignment 1'!C3</f>
        <v>17.5</v>
      </c>
      <c r="O3">
        <f>'Assignment 2'!C3</f>
        <v>11.5</v>
      </c>
      <c r="P3">
        <f>'Assignment 3'!C3</f>
        <v>15</v>
      </c>
      <c r="Q3">
        <f>Presentation!C3</f>
        <v>16.25</v>
      </c>
      <c r="S3" t="s">
        <v>303</v>
      </c>
      <c r="T3">
        <f>COUNTIF(I3:I42,"H1")</f>
        <v>20</v>
      </c>
    </row>
    <row r="4" spans="1:20" x14ac:dyDescent="0.2">
      <c r="A4" t="s">
        <v>21</v>
      </c>
      <c r="B4">
        <v>46291</v>
      </c>
      <c r="C4">
        <v>995802</v>
      </c>
      <c r="D4" t="s">
        <v>22</v>
      </c>
      <c r="E4" t="s">
        <v>19</v>
      </c>
      <c r="F4">
        <v>995802</v>
      </c>
      <c r="G4">
        <f t="shared" ref="G4:G43" si="0">J4+K4+L4+M4+N4+O4+P4+Q4</f>
        <v>93</v>
      </c>
      <c r="H4">
        <f>_xlfn.CEILING.MATH((G4))</f>
        <v>93</v>
      </c>
      <c r="I4" t="str">
        <f t="shared" ref="I4:I43" si="1">IF(H4&gt;=80,"H1",IF(H4&gt;=75,"H2A",IF(H4&gt;=70,"H2B",IF(H4&gt;=65,"H3",IF(H4&gt;=50,"P","N")))))</f>
        <v>H1</v>
      </c>
      <c r="J4">
        <f>'Homework 1'!C4</f>
        <v>4.75</v>
      </c>
      <c r="K4">
        <f>'Homework 2'!C4</f>
        <v>5</v>
      </c>
      <c r="L4">
        <f>'Homework 3'!C4</f>
        <v>4.75</v>
      </c>
      <c r="M4">
        <f>'Homework 4'!C4</f>
        <v>4</v>
      </c>
      <c r="N4">
        <f>'Assignment 1'!C4</f>
        <v>19.5</v>
      </c>
      <c r="O4">
        <f>'Assignment 2'!C4</f>
        <v>16.5</v>
      </c>
      <c r="P4">
        <f>'Assignment 3'!C4</f>
        <v>19</v>
      </c>
      <c r="Q4">
        <f>Presentation!C4</f>
        <v>19.5</v>
      </c>
      <c r="S4" t="s">
        <v>304</v>
      </c>
      <c r="T4">
        <f>COUNTIF(I3:I42,"H2A")</f>
        <v>7</v>
      </c>
    </row>
    <row r="5" spans="1:20" x14ac:dyDescent="0.2">
      <c r="A5" t="s">
        <v>23</v>
      </c>
      <c r="B5">
        <v>287672</v>
      </c>
      <c r="C5">
        <v>1417057</v>
      </c>
      <c r="D5" t="s">
        <v>24</v>
      </c>
      <c r="E5" t="s">
        <v>19</v>
      </c>
      <c r="F5">
        <v>1417057</v>
      </c>
      <c r="G5">
        <f t="shared" si="0"/>
        <v>96.5</v>
      </c>
      <c r="H5">
        <f t="shared" ref="H5:H42" si="2">_xlfn.CEILING.MATH((G5))</f>
        <v>97</v>
      </c>
      <c r="I5" t="str">
        <f t="shared" si="1"/>
        <v>H1</v>
      </c>
      <c r="J5">
        <f>'Homework 1'!C5</f>
        <v>5</v>
      </c>
      <c r="K5">
        <f>'Homework 2'!C5</f>
        <v>5</v>
      </c>
      <c r="L5">
        <f>'Homework 3'!C5</f>
        <v>4.75</v>
      </c>
      <c r="M5">
        <f>'Homework 4'!C5</f>
        <v>5</v>
      </c>
      <c r="N5">
        <f>'Assignment 1'!C5</f>
        <v>19.5</v>
      </c>
      <c r="O5">
        <f>'Assignment 2'!C5</f>
        <v>19.5</v>
      </c>
      <c r="P5">
        <f>'Assignment 3'!C5</f>
        <v>19.5</v>
      </c>
      <c r="Q5">
        <f>Presentation!C5</f>
        <v>18.25</v>
      </c>
      <c r="S5" t="s">
        <v>305</v>
      </c>
      <c r="T5">
        <f>COUNTIF(I3:I42,"H2B")</f>
        <v>6</v>
      </c>
    </row>
    <row r="6" spans="1:20" x14ac:dyDescent="0.2">
      <c r="A6" t="s">
        <v>25</v>
      </c>
      <c r="B6">
        <v>270353</v>
      </c>
      <c r="C6">
        <v>1374388</v>
      </c>
      <c r="D6" t="s">
        <v>26</v>
      </c>
      <c r="E6" t="s">
        <v>19</v>
      </c>
      <c r="F6">
        <v>1374388</v>
      </c>
      <c r="G6">
        <f t="shared" si="0"/>
        <v>74.5</v>
      </c>
      <c r="H6">
        <f t="shared" si="2"/>
        <v>75</v>
      </c>
      <c r="I6" t="str">
        <f t="shared" si="1"/>
        <v>H2A</v>
      </c>
      <c r="J6">
        <f>'Homework 1'!C6</f>
        <v>4.5</v>
      </c>
      <c r="K6">
        <f>'Homework 2'!C6</f>
        <v>5</v>
      </c>
      <c r="L6">
        <f>'Homework 3'!C6</f>
        <v>4.75</v>
      </c>
      <c r="M6">
        <f>'Homework 4'!C6</f>
        <v>3.5</v>
      </c>
      <c r="N6">
        <f>'Assignment 1'!C6</f>
        <v>13</v>
      </c>
      <c r="O6">
        <f>'Assignment 2'!C6</f>
        <v>12.5</v>
      </c>
      <c r="P6">
        <f>'Assignment 3'!C6</f>
        <v>15</v>
      </c>
      <c r="Q6">
        <f>Presentation!C6</f>
        <v>16.25</v>
      </c>
      <c r="S6" t="s">
        <v>308</v>
      </c>
      <c r="T6">
        <f>COUNTIF(I3:I42,"H3")</f>
        <v>2</v>
      </c>
    </row>
    <row r="7" spans="1:20" x14ac:dyDescent="0.2">
      <c r="A7" t="s">
        <v>27</v>
      </c>
      <c r="B7">
        <v>299695</v>
      </c>
      <c r="C7">
        <v>1373562</v>
      </c>
      <c r="D7" t="s">
        <v>28</v>
      </c>
      <c r="E7" t="s">
        <v>19</v>
      </c>
      <c r="F7">
        <v>1373562</v>
      </c>
      <c r="G7">
        <f t="shared" si="0"/>
        <v>94.75</v>
      </c>
      <c r="H7">
        <f t="shared" si="2"/>
        <v>95</v>
      </c>
      <c r="I7" t="str">
        <f t="shared" si="1"/>
        <v>H1</v>
      </c>
      <c r="J7">
        <f>'Homework 1'!C7</f>
        <v>5</v>
      </c>
      <c r="K7">
        <f>'Homework 2'!C7</f>
        <v>5</v>
      </c>
      <c r="L7">
        <f>'Homework 3'!C7</f>
        <v>4.75</v>
      </c>
      <c r="M7">
        <f>'Homework 4'!C7</f>
        <v>5</v>
      </c>
      <c r="N7">
        <f>'Assignment 1'!C7</f>
        <v>19.5</v>
      </c>
      <c r="O7">
        <f>'Assignment 2'!C7</f>
        <v>18</v>
      </c>
      <c r="P7">
        <f>'Assignment 3'!C7</f>
        <v>19.5</v>
      </c>
      <c r="Q7">
        <f>Presentation!C7</f>
        <v>18</v>
      </c>
      <c r="S7" t="s">
        <v>309</v>
      </c>
      <c r="T7">
        <f>COUNTIF(I3:I42,"P")</f>
        <v>2</v>
      </c>
    </row>
    <row r="8" spans="1:20" x14ac:dyDescent="0.2">
      <c r="A8" t="s">
        <v>29</v>
      </c>
      <c r="B8">
        <v>288207</v>
      </c>
      <c r="C8">
        <v>1443406</v>
      </c>
      <c r="D8" t="s">
        <v>30</v>
      </c>
      <c r="E8" t="s">
        <v>19</v>
      </c>
      <c r="F8">
        <v>1443406</v>
      </c>
      <c r="G8">
        <f t="shared" si="0"/>
        <v>90</v>
      </c>
      <c r="H8">
        <f t="shared" si="2"/>
        <v>90</v>
      </c>
      <c r="I8" t="str">
        <f t="shared" si="1"/>
        <v>H1</v>
      </c>
      <c r="J8">
        <f>'Homework 1'!C8</f>
        <v>4.75</v>
      </c>
      <c r="K8">
        <f>'Homework 2'!C8</f>
        <v>5</v>
      </c>
      <c r="L8">
        <f>'Homework 3'!C8</f>
        <v>5</v>
      </c>
      <c r="M8">
        <f>'Homework 4'!C8</f>
        <v>5</v>
      </c>
      <c r="N8">
        <f>'Assignment 1'!C8</f>
        <v>17</v>
      </c>
      <c r="O8">
        <f>'Assignment 2'!C8</f>
        <v>16</v>
      </c>
      <c r="P8">
        <f>'Assignment 3'!C8</f>
        <v>18</v>
      </c>
      <c r="Q8">
        <f>Presentation!C8</f>
        <v>19.25</v>
      </c>
      <c r="S8" t="s">
        <v>20</v>
      </c>
      <c r="T8">
        <f>COUNTIF(I3:I42,"N")</f>
        <v>1</v>
      </c>
    </row>
    <row r="9" spans="1:20" x14ac:dyDescent="0.2">
      <c r="A9" t="s">
        <v>31</v>
      </c>
      <c r="B9">
        <v>356171</v>
      </c>
      <c r="C9">
        <v>1555968</v>
      </c>
      <c r="D9" t="s">
        <v>32</v>
      </c>
      <c r="E9" t="s">
        <v>19</v>
      </c>
      <c r="F9">
        <v>1555968</v>
      </c>
      <c r="G9">
        <f t="shared" si="0"/>
        <v>87.25</v>
      </c>
      <c r="H9">
        <f t="shared" si="2"/>
        <v>88</v>
      </c>
      <c r="I9" t="str">
        <f t="shared" si="1"/>
        <v>H1</v>
      </c>
      <c r="J9">
        <f>'Homework 1'!C9</f>
        <v>4.75</v>
      </c>
      <c r="K9">
        <f>'Homework 2'!C9</f>
        <v>4.25</v>
      </c>
      <c r="L9">
        <f>'Homework 3'!C9</f>
        <v>2.5</v>
      </c>
      <c r="M9">
        <f>'Homework 4'!C9</f>
        <v>4</v>
      </c>
      <c r="N9">
        <f>'Assignment 1'!C9</f>
        <v>18.5</v>
      </c>
      <c r="O9">
        <f>'Assignment 2'!C9</f>
        <v>19</v>
      </c>
      <c r="P9">
        <f>'Assignment 3'!C9</f>
        <v>17</v>
      </c>
      <c r="Q9">
        <f>Presentation!C9</f>
        <v>17.25</v>
      </c>
      <c r="S9" t="s">
        <v>109</v>
      </c>
      <c r="T9">
        <f>SUM(T3:T8)</f>
        <v>38</v>
      </c>
    </row>
    <row r="10" spans="1:20" x14ac:dyDescent="0.2">
      <c r="A10" t="s">
        <v>33</v>
      </c>
      <c r="B10">
        <v>324402</v>
      </c>
      <c r="C10">
        <v>1436599</v>
      </c>
      <c r="D10" t="s">
        <v>34</v>
      </c>
      <c r="E10" t="s">
        <v>19</v>
      </c>
      <c r="F10">
        <v>1436599</v>
      </c>
      <c r="G10">
        <f t="shared" si="0"/>
        <v>69.75</v>
      </c>
      <c r="H10">
        <f t="shared" si="2"/>
        <v>70</v>
      </c>
      <c r="I10" t="str">
        <f t="shared" si="1"/>
        <v>H2B</v>
      </c>
      <c r="J10">
        <f>'Homework 1'!C10</f>
        <v>4.5</v>
      </c>
      <c r="K10">
        <f>'Homework 2'!C10</f>
        <v>4.5</v>
      </c>
      <c r="L10">
        <f>'Homework 3'!C10</f>
        <v>3</v>
      </c>
      <c r="M10">
        <f>'Homework 4'!C10</f>
        <v>4</v>
      </c>
      <c r="N10">
        <f>'Assignment 1'!C10</f>
        <v>8.5</v>
      </c>
      <c r="O10">
        <f>'Assignment 2'!C10</f>
        <v>12.75</v>
      </c>
      <c r="P10">
        <f>'Assignment 3'!C10</f>
        <v>17</v>
      </c>
      <c r="Q10">
        <f>Presentation!C10</f>
        <v>15.5</v>
      </c>
    </row>
    <row r="11" spans="1:20" x14ac:dyDescent="0.2">
      <c r="A11" t="s">
        <v>35</v>
      </c>
      <c r="B11">
        <v>17737</v>
      </c>
      <c r="C11">
        <v>1072476</v>
      </c>
      <c r="D11" t="s">
        <v>36</v>
      </c>
      <c r="E11" t="s">
        <v>19</v>
      </c>
      <c r="F11">
        <v>1072476</v>
      </c>
      <c r="G11">
        <f t="shared" si="0"/>
        <v>94.75</v>
      </c>
      <c r="H11">
        <f t="shared" si="2"/>
        <v>95</v>
      </c>
      <c r="I11" t="str">
        <f t="shared" si="1"/>
        <v>H1</v>
      </c>
      <c r="J11">
        <f>'Homework 1'!C11</f>
        <v>5</v>
      </c>
      <c r="K11">
        <f>'Homework 2'!C11</f>
        <v>5</v>
      </c>
      <c r="L11">
        <f>'Homework 3'!C11</f>
        <v>5</v>
      </c>
      <c r="M11">
        <f>'Homework 4'!C11</f>
        <v>5</v>
      </c>
      <c r="N11">
        <f>'Assignment 1'!C11</f>
        <v>17</v>
      </c>
      <c r="O11">
        <f>'Assignment 2'!C11</f>
        <v>20</v>
      </c>
      <c r="P11">
        <f>'Assignment 3'!C11</f>
        <v>19.5</v>
      </c>
      <c r="Q11">
        <f>Presentation!C11</f>
        <v>18.25</v>
      </c>
    </row>
    <row r="12" spans="1:20" x14ac:dyDescent="0.2">
      <c r="A12" t="s">
        <v>37</v>
      </c>
      <c r="B12">
        <v>299114</v>
      </c>
      <c r="C12">
        <v>1316006</v>
      </c>
      <c r="D12" t="s">
        <v>38</v>
      </c>
      <c r="E12" t="s">
        <v>19</v>
      </c>
      <c r="F12">
        <v>1316006</v>
      </c>
      <c r="G12">
        <f t="shared" si="0"/>
        <v>79</v>
      </c>
      <c r="H12">
        <f t="shared" si="2"/>
        <v>79</v>
      </c>
      <c r="I12" t="str">
        <f t="shared" si="1"/>
        <v>H2A</v>
      </c>
      <c r="J12">
        <f>'Homework 1'!C12</f>
        <v>4.5</v>
      </c>
      <c r="K12">
        <f>'Homework 2'!C12</f>
        <v>2.75</v>
      </c>
      <c r="L12">
        <f>'Homework 3'!C12</f>
        <v>4.5</v>
      </c>
      <c r="M12">
        <f>'Homework 4'!C12</f>
        <v>4.5</v>
      </c>
      <c r="N12">
        <f>'Assignment 1'!C12</f>
        <v>15</v>
      </c>
      <c r="O12">
        <f>'Assignment 2'!C12</f>
        <v>17</v>
      </c>
      <c r="P12">
        <f>'Assignment 3'!C12</f>
        <v>16</v>
      </c>
      <c r="Q12">
        <f>Presentation!C12</f>
        <v>14.75</v>
      </c>
    </row>
    <row r="13" spans="1:20" x14ac:dyDescent="0.2">
      <c r="A13" t="s">
        <v>39</v>
      </c>
      <c r="B13">
        <v>18670</v>
      </c>
      <c r="C13">
        <v>650596</v>
      </c>
      <c r="D13" t="s">
        <v>40</v>
      </c>
      <c r="E13" t="s">
        <v>19</v>
      </c>
      <c r="F13">
        <v>650596</v>
      </c>
      <c r="G13">
        <f t="shared" si="0"/>
        <v>60</v>
      </c>
      <c r="H13">
        <f t="shared" si="2"/>
        <v>60</v>
      </c>
      <c r="I13" t="str">
        <f t="shared" si="1"/>
        <v>P</v>
      </c>
      <c r="J13">
        <f>'Homework 1'!C13</f>
        <v>1.25</v>
      </c>
      <c r="K13">
        <f>'Homework 2'!C13</f>
        <v>5</v>
      </c>
      <c r="L13">
        <f>'Homework 3'!C13</f>
        <v>4.25</v>
      </c>
      <c r="M13">
        <f>'Homework 4'!C13</f>
        <v>4</v>
      </c>
      <c r="N13">
        <f>'Assignment 1'!C13</f>
        <v>16</v>
      </c>
      <c r="O13">
        <f>'Assignment 2'!C13</f>
        <v>13</v>
      </c>
      <c r="P13">
        <f>'Assignment 3'!C13</f>
        <v>0</v>
      </c>
      <c r="Q13">
        <f>Presentation!C13</f>
        <v>16.5</v>
      </c>
    </row>
    <row r="14" spans="1:20" x14ac:dyDescent="0.2">
      <c r="A14" t="s">
        <v>41</v>
      </c>
      <c r="B14">
        <v>17815</v>
      </c>
      <c r="C14">
        <v>1063490</v>
      </c>
      <c r="D14" t="s">
        <v>42</v>
      </c>
      <c r="E14" t="s">
        <v>19</v>
      </c>
      <c r="F14">
        <v>1063490</v>
      </c>
      <c r="G14">
        <f t="shared" si="0"/>
        <v>68.25</v>
      </c>
      <c r="H14">
        <f t="shared" si="2"/>
        <v>69</v>
      </c>
      <c r="I14" t="str">
        <f t="shared" si="1"/>
        <v>H3</v>
      </c>
      <c r="J14">
        <f>'Homework 1'!C14</f>
        <v>2.5</v>
      </c>
      <c r="K14">
        <f>'Homework 2'!C14</f>
        <v>3.75</v>
      </c>
      <c r="L14">
        <f>'Homework 3'!C14</f>
        <v>2.5</v>
      </c>
      <c r="M14">
        <f>'Homework 4'!C14</f>
        <v>3.75</v>
      </c>
      <c r="N14">
        <f>'Assignment 1'!C14</f>
        <v>14.5</v>
      </c>
      <c r="O14">
        <f>'Assignment 2'!C14</f>
        <v>11.5</v>
      </c>
      <c r="P14">
        <f>'Assignment 3'!C14</f>
        <v>11</v>
      </c>
      <c r="Q14">
        <f>Presentation!C14</f>
        <v>18.75</v>
      </c>
    </row>
    <row r="15" spans="1:20" x14ac:dyDescent="0.2">
      <c r="A15" t="s">
        <v>43</v>
      </c>
      <c r="B15">
        <v>323995</v>
      </c>
      <c r="C15">
        <v>1502683</v>
      </c>
      <c r="D15" t="s">
        <v>44</v>
      </c>
      <c r="E15" t="s">
        <v>19</v>
      </c>
      <c r="F15">
        <v>1502683</v>
      </c>
      <c r="G15">
        <f t="shared" si="0"/>
        <v>71.5</v>
      </c>
      <c r="H15">
        <f t="shared" si="2"/>
        <v>72</v>
      </c>
      <c r="I15" t="str">
        <f t="shared" si="1"/>
        <v>H2B</v>
      </c>
      <c r="J15">
        <f>'Homework 1'!C15</f>
        <v>4.25</v>
      </c>
      <c r="K15">
        <f>'Homework 2'!C15</f>
        <v>3.5</v>
      </c>
      <c r="L15">
        <f>'Homework 3'!C15</f>
        <v>4</v>
      </c>
      <c r="M15">
        <f>'Homework 4'!C15</f>
        <v>3.5</v>
      </c>
      <c r="N15">
        <f>'Assignment 1'!C15</f>
        <v>11.5</v>
      </c>
      <c r="O15">
        <f>'Assignment 2'!C15</f>
        <v>14</v>
      </c>
      <c r="P15">
        <f>'Assignment 3'!C15</f>
        <v>14.5</v>
      </c>
      <c r="Q15">
        <f>Presentation!C15</f>
        <v>16.25</v>
      </c>
    </row>
    <row r="16" spans="1:20" x14ac:dyDescent="0.2">
      <c r="A16" t="s">
        <v>45</v>
      </c>
      <c r="B16">
        <v>37642</v>
      </c>
      <c r="C16">
        <v>884343</v>
      </c>
      <c r="D16" t="s">
        <v>46</v>
      </c>
      <c r="E16" t="s">
        <v>19</v>
      </c>
      <c r="F16">
        <v>884343</v>
      </c>
      <c r="G16">
        <f t="shared" si="0"/>
        <v>84</v>
      </c>
      <c r="H16">
        <f t="shared" si="2"/>
        <v>84</v>
      </c>
      <c r="I16" t="str">
        <f t="shared" si="1"/>
        <v>H1</v>
      </c>
      <c r="J16">
        <f>'Homework 1'!C16</f>
        <v>5</v>
      </c>
      <c r="K16">
        <f>'Homework 2'!C16</f>
        <v>4</v>
      </c>
      <c r="L16">
        <f>'Homework 3'!C16</f>
        <v>2.25</v>
      </c>
      <c r="M16">
        <f>'Homework 4'!C16</f>
        <v>4</v>
      </c>
      <c r="N16">
        <f>'Assignment 1'!C16</f>
        <v>14</v>
      </c>
      <c r="O16">
        <f>'Assignment 2'!C16</f>
        <v>17.25</v>
      </c>
      <c r="P16">
        <f>'Assignment 3'!C16</f>
        <v>19.5</v>
      </c>
      <c r="Q16">
        <f>Presentation!C16</f>
        <v>18</v>
      </c>
    </row>
    <row r="17" spans="1:17" x14ac:dyDescent="0.2">
      <c r="A17" t="s">
        <v>47</v>
      </c>
      <c r="B17">
        <v>329858</v>
      </c>
      <c r="C17">
        <v>1510683</v>
      </c>
      <c r="D17" t="s">
        <v>48</v>
      </c>
      <c r="E17" t="s">
        <v>19</v>
      </c>
      <c r="F17">
        <v>1510683</v>
      </c>
      <c r="G17">
        <f t="shared" si="0"/>
        <v>73.5</v>
      </c>
      <c r="H17">
        <f t="shared" si="2"/>
        <v>74</v>
      </c>
      <c r="I17" t="str">
        <f t="shared" si="1"/>
        <v>H2B</v>
      </c>
      <c r="J17">
        <f>'Homework 1'!C17</f>
        <v>4.5</v>
      </c>
      <c r="K17">
        <f>'Homework 2'!C17</f>
        <v>3.25</v>
      </c>
      <c r="L17">
        <f>'Homework 3'!C17</f>
        <v>2.75</v>
      </c>
      <c r="M17">
        <f>'Homework 4'!C17</f>
        <v>4</v>
      </c>
      <c r="N17">
        <f>'Assignment 1'!C17</f>
        <v>12</v>
      </c>
      <c r="O17">
        <f>'Assignment 2'!C17</f>
        <v>15.75</v>
      </c>
      <c r="P17">
        <f>'Assignment 3'!C17</f>
        <v>15.5</v>
      </c>
      <c r="Q17">
        <f>Presentation!C17</f>
        <v>15.75</v>
      </c>
    </row>
    <row r="18" spans="1:17" x14ac:dyDescent="0.2">
      <c r="A18" t="s">
        <v>49</v>
      </c>
      <c r="B18">
        <v>71451</v>
      </c>
      <c r="C18">
        <v>1074491</v>
      </c>
      <c r="D18" t="s">
        <v>50</v>
      </c>
      <c r="E18" t="s">
        <v>19</v>
      </c>
      <c r="F18">
        <v>1074491</v>
      </c>
      <c r="G18">
        <f t="shared" si="0"/>
        <v>72.75</v>
      </c>
      <c r="H18">
        <f t="shared" si="2"/>
        <v>73</v>
      </c>
      <c r="I18" t="str">
        <f t="shared" si="1"/>
        <v>H2B</v>
      </c>
      <c r="J18">
        <f>'Homework 1'!C18</f>
        <v>1.75</v>
      </c>
      <c r="K18">
        <f>'Homework 2'!C18</f>
        <v>2</v>
      </c>
      <c r="L18">
        <f>'Homework 3'!C18</f>
        <v>4.75</v>
      </c>
      <c r="M18">
        <f>'Homework 4'!C18</f>
        <v>4.25</v>
      </c>
      <c r="N18">
        <f>'Assignment 1'!C18</f>
        <v>15.5</v>
      </c>
      <c r="O18">
        <f>'Assignment 2'!C18</f>
        <v>13.5</v>
      </c>
      <c r="P18">
        <f>'Assignment 3'!C18</f>
        <v>17</v>
      </c>
      <c r="Q18">
        <f>Presentation!C18</f>
        <v>14</v>
      </c>
    </row>
    <row r="19" spans="1:17" x14ac:dyDescent="0.2">
      <c r="A19" t="s">
        <v>51</v>
      </c>
      <c r="B19">
        <v>317752</v>
      </c>
      <c r="C19">
        <v>1495622</v>
      </c>
      <c r="D19" t="s">
        <v>52</v>
      </c>
      <c r="E19" t="s">
        <v>19</v>
      </c>
      <c r="F19">
        <v>1495622</v>
      </c>
      <c r="G19">
        <f t="shared" si="0"/>
        <v>68</v>
      </c>
      <c r="H19">
        <f t="shared" si="2"/>
        <v>68</v>
      </c>
      <c r="I19" t="str">
        <f t="shared" si="1"/>
        <v>H3</v>
      </c>
      <c r="J19">
        <f>'Homework 1'!C19</f>
        <v>2.5</v>
      </c>
      <c r="K19">
        <f>'Homework 2'!C19</f>
        <v>1.75</v>
      </c>
      <c r="L19">
        <f>'Homework 3'!C19</f>
        <v>2.25</v>
      </c>
      <c r="M19">
        <f>'Homework 4'!C19</f>
        <v>4.5</v>
      </c>
      <c r="N19">
        <f>'Assignment 1'!C19</f>
        <v>12.5</v>
      </c>
      <c r="O19">
        <f>'Assignment 2'!C19</f>
        <v>12.75</v>
      </c>
      <c r="P19">
        <f>'Assignment 3'!C19</f>
        <v>16</v>
      </c>
      <c r="Q19">
        <f>Presentation!C19</f>
        <v>15.75</v>
      </c>
    </row>
    <row r="20" spans="1:17" x14ac:dyDescent="0.2">
      <c r="A20" t="s">
        <v>53</v>
      </c>
      <c r="B20">
        <v>41156</v>
      </c>
      <c r="C20">
        <v>992893</v>
      </c>
      <c r="D20" t="s">
        <v>54</v>
      </c>
      <c r="E20" t="s">
        <v>19</v>
      </c>
      <c r="F20">
        <v>992893</v>
      </c>
      <c r="G20">
        <f t="shared" si="0"/>
        <v>83.25</v>
      </c>
      <c r="H20">
        <f t="shared" si="2"/>
        <v>84</v>
      </c>
      <c r="I20" t="str">
        <f t="shared" si="1"/>
        <v>H1</v>
      </c>
      <c r="J20">
        <f>'Homework 1'!C20</f>
        <v>4.75</v>
      </c>
      <c r="K20">
        <f>'Homework 2'!C20</f>
        <v>4.5</v>
      </c>
      <c r="L20">
        <f>'Homework 3'!C20</f>
        <v>4.75</v>
      </c>
      <c r="M20">
        <f>'Homework 4'!C20</f>
        <v>4</v>
      </c>
      <c r="N20">
        <f>'Assignment 1'!C20</f>
        <v>17.5</v>
      </c>
      <c r="O20">
        <f>'Assignment 2'!C20</f>
        <v>14.25</v>
      </c>
      <c r="P20">
        <f>'Assignment 3'!C20</f>
        <v>15.5</v>
      </c>
      <c r="Q20">
        <f>Presentation!C20</f>
        <v>18</v>
      </c>
    </row>
    <row r="21" spans="1:17" x14ac:dyDescent="0.2">
      <c r="A21" t="s">
        <v>55</v>
      </c>
      <c r="B21">
        <v>129673</v>
      </c>
      <c r="C21">
        <v>1181978</v>
      </c>
      <c r="D21" t="s">
        <v>56</v>
      </c>
      <c r="E21" t="s">
        <v>19</v>
      </c>
      <c r="F21">
        <v>1181978</v>
      </c>
      <c r="G21">
        <f t="shared" si="0"/>
        <v>89.75</v>
      </c>
      <c r="H21">
        <f t="shared" si="2"/>
        <v>90</v>
      </c>
      <c r="I21" t="str">
        <f t="shared" si="1"/>
        <v>H1</v>
      </c>
      <c r="J21">
        <f>'Homework 1'!C21</f>
        <v>4.5</v>
      </c>
      <c r="K21">
        <f>'Homework 2'!C21</f>
        <v>5</v>
      </c>
      <c r="L21">
        <f>'Homework 3'!C21</f>
        <v>4.25</v>
      </c>
      <c r="M21">
        <f>'Homework 4'!C21</f>
        <v>4.5</v>
      </c>
      <c r="N21">
        <f>'Assignment 1'!C21</f>
        <v>16</v>
      </c>
      <c r="O21">
        <f>'Assignment 2'!C21</f>
        <v>19</v>
      </c>
      <c r="P21">
        <f>'Assignment 3'!C21</f>
        <v>17</v>
      </c>
      <c r="Q21">
        <f>Presentation!C21</f>
        <v>19.5</v>
      </c>
    </row>
    <row r="22" spans="1:17" x14ac:dyDescent="0.2">
      <c r="A22" t="s">
        <v>57</v>
      </c>
      <c r="B22">
        <v>61271</v>
      </c>
      <c r="C22">
        <v>1051214</v>
      </c>
      <c r="D22" t="s">
        <v>58</v>
      </c>
      <c r="E22" t="s">
        <v>19</v>
      </c>
      <c r="F22">
        <v>1051214</v>
      </c>
      <c r="G22">
        <f t="shared" si="0"/>
        <v>90.5</v>
      </c>
      <c r="H22">
        <f t="shared" si="2"/>
        <v>91</v>
      </c>
      <c r="I22" t="str">
        <f t="shared" si="1"/>
        <v>H1</v>
      </c>
      <c r="J22">
        <f>'Homework 1'!C22</f>
        <v>5</v>
      </c>
      <c r="K22">
        <f>'Homework 2'!C22</f>
        <v>5</v>
      </c>
      <c r="L22">
        <f>'Homework 3'!C22</f>
        <v>4.75</v>
      </c>
      <c r="M22">
        <f>'Homework 4'!C22</f>
        <v>5</v>
      </c>
      <c r="N22">
        <f>'Assignment 1'!C22</f>
        <v>17.5</v>
      </c>
      <c r="O22">
        <f>'Assignment 2'!C22</f>
        <v>18.75</v>
      </c>
      <c r="P22">
        <f>'Assignment 3'!C22</f>
        <v>19.5</v>
      </c>
      <c r="Q22">
        <f>Presentation!C22</f>
        <v>15</v>
      </c>
    </row>
    <row r="23" spans="1:17" hidden="1" x14ac:dyDescent="0.2">
      <c r="A23" t="s">
        <v>59</v>
      </c>
      <c r="B23">
        <v>325621</v>
      </c>
      <c r="C23" t="s">
        <v>60</v>
      </c>
      <c r="D23" t="s">
        <v>60</v>
      </c>
      <c r="E23" t="s">
        <v>61</v>
      </c>
      <c r="G23">
        <f t="shared" si="0"/>
        <v>0</v>
      </c>
      <c r="J23">
        <f>'Homework 1'!C23</f>
        <v>0</v>
      </c>
      <c r="K23">
        <f>'Homework 2'!C23</f>
        <v>0</v>
      </c>
      <c r="L23">
        <f>'Homework 3'!C23</f>
        <v>0</v>
      </c>
      <c r="M23">
        <f>'Homework 4'!C23</f>
        <v>0</v>
      </c>
      <c r="N23">
        <f>'Assignment 1'!C23</f>
        <v>0</v>
      </c>
      <c r="O23">
        <f>'Assignment 2'!C23</f>
        <v>0</v>
      </c>
      <c r="P23">
        <f>'Assignment 3'!C23</f>
        <v>0</v>
      </c>
      <c r="Q23">
        <f>Presentation!C23</f>
        <v>0</v>
      </c>
    </row>
    <row r="24" spans="1:17" hidden="1" x14ac:dyDescent="0.2">
      <c r="A24" t="s">
        <v>62</v>
      </c>
      <c r="B24">
        <v>360747</v>
      </c>
      <c r="C24" t="s">
        <v>63</v>
      </c>
      <c r="D24" t="s">
        <v>63</v>
      </c>
      <c r="E24" t="s">
        <v>61</v>
      </c>
      <c r="G24">
        <f t="shared" si="0"/>
        <v>0</v>
      </c>
      <c r="J24">
        <f>'Homework 1'!C24</f>
        <v>0</v>
      </c>
      <c r="K24">
        <f>'Homework 2'!C24</f>
        <v>0</v>
      </c>
      <c r="L24">
        <f>'Homework 3'!C24</f>
        <v>0</v>
      </c>
      <c r="M24">
        <f>'Homework 4'!C24</f>
        <v>0</v>
      </c>
      <c r="N24">
        <f>'Assignment 1'!C24</f>
        <v>0</v>
      </c>
      <c r="O24">
        <f>'Assignment 2'!C24</f>
        <v>0</v>
      </c>
      <c r="P24">
        <f>'Assignment 3'!C24</f>
        <v>0</v>
      </c>
      <c r="Q24">
        <f>Presentation!C24</f>
        <v>0</v>
      </c>
    </row>
    <row r="25" spans="1:17" x14ac:dyDescent="0.2">
      <c r="A25" t="s">
        <v>64</v>
      </c>
      <c r="B25">
        <v>341688</v>
      </c>
      <c r="C25">
        <v>1549443</v>
      </c>
      <c r="D25" t="s">
        <v>65</v>
      </c>
      <c r="E25" t="s">
        <v>19</v>
      </c>
      <c r="F25">
        <v>1549443</v>
      </c>
      <c r="G25">
        <f t="shared" si="0"/>
        <v>74</v>
      </c>
      <c r="H25">
        <f t="shared" si="2"/>
        <v>74</v>
      </c>
      <c r="I25" t="str">
        <f t="shared" si="1"/>
        <v>H2B</v>
      </c>
      <c r="J25">
        <f>'Homework 1'!C25</f>
        <v>4.5</v>
      </c>
      <c r="K25">
        <f>'Homework 2'!C25</f>
        <v>3.5</v>
      </c>
      <c r="L25">
        <f>'Homework 3'!C25</f>
        <v>3.5</v>
      </c>
      <c r="M25">
        <f>'Homework 4'!C25</f>
        <v>3</v>
      </c>
      <c r="N25">
        <f>'Assignment 1'!C25</f>
        <v>12</v>
      </c>
      <c r="O25">
        <f>'Assignment 2'!C25</f>
        <v>13</v>
      </c>
      <c r="P25">
        <f>'Assignment 3'!C25</f>
        <v>15.5</v>
      </c>
      <c r="Q25">
        <f>Presentation!C25</f>
        <v>19</v>
      </c>
    </row>
    <row r="26" spans="1:17" x14ac:dyDescent="0.2">
      <c r="A26" t="s">
        <v>66</v>
      </c>
      <c r="B26">
        <v>324192</v>
      </c>
      <c r="C26">
        <v>1510033</v>
      </c>
      <c r="D26" t="s">
        <v>67</v>
      </c>
      <c r="E26" t="s">
        <v>19</v>
      </c>
      <c r="F26">
        <v>1510033</v>
      </c>
      <c r="G26">
        <f t="shared" si="0"/>
        <v>42</v>
      </c>
      <c r="H26">
        <f t="shared" si="2"/>
        <v>42</v>
      </c>
      <c r="I26" t="str">
        <f t="shared" si="1"/>
        <v>N</v>
      </c>
      <c r="J26">
        <f>'Homework 1'!C26</f>
        <v>3.25</v>
      </c>
      <c r="K26">
        <f>'Homework 2'!C26</f>
        <v>3.5</v>
      </c>
      <c r="L26">
        <f>'Homework 3'!C26</f>
        <v>1.75</v>
      </c>
      <c r="M26">
        <f>'Homework 4'!C26</f>
        <v>0.75</v>
      </c>
      <c r="N26" s="2">
        <f>('Assignment 1'!C26 + 4.5)/2</f>
        <v>5.5</v>
      </c>
      <c r="O26" s="2">
        <f>('Assignment 2'!C26 + 3)/2</f>
        <v>4.75</v>
      </c>
      <c r="P26" s="2">
        <f>('Assignment 3'!C26 + 11)/2</f>
        <v>9</v>
      </c>
      <c r="Q26">
        <f>Presentation!C26</f>
        <v>13.5</v>
      </c>
    </row>
    <row r="27" spans="1:17" x14ac:dyDescent="0.2">
      <c r="A27" t="s">
        <v>68</v>
      </c>
      <c r="B27">
        <v>120224</v>
      </c>
      <c r="C27">
        <v>1168383</v>
      </c>
      <c r="D27" t="s">
        <v>69</v>
      </c>
      <c r="E27" t="s">
        <v>19</v>
      </c>
      <c r="F27">
        <v>1168383</v>
      </c>
      <c r="G27">
        <f t="shared" si="0"/>
        <v>76.5</v>
      </c>
      <c r="H27">
        <f t="shared" si="2"/>
        <v>77</v>
      </c>
      <c r="I27" t="str">
        <f t="shared" si="1"/>
        <v>H2A</v>
      </c>
      <c r="J27">
        <f>'Homework 1'!C27</f>
        <v>2.75</v>
      </c>
      <c r="K27">
        <f>'Homework 2'!C27</f>
        <v>1.5</v>
      </c>
      <c r="L27">
        <f>'Homework 3'!C27</f>
        <v>3.25</v>
      </c>
      <c r="M27">
        <f>'Homework 4'!C27</f>
        <v>4.5</v>
      </c>
      <c r="N27">
        <f>'Assignment 1'!C27</f>
        <v>9</v>
      </c>
      <c r="O27">
        <f>'Assignment 2'!C27</f>
        <v>17.25</v>
      </c>
      <c r="P27">
        <f>'Assignment 3'!C27</f>
        <v>19</v>
      </c>
      <c r="Q27">
        <f>Presentation!C27</f>
        <v>19.25</v>
      </c>
    </row>
    <row r="28" spans="1:17" x14ac:dyDescent="0.2">
      <c r="A28" t="s">
        <v>70</v>
      </c>
      <c r="B28">
        <v>319407</v>
      </c>
      <c r="C28">
        <v>1436936</v>
      </c>
      <c r="D28" t="s">
        <v>71</v>
      </c>
      <c r="E28" t="s">
        <v>19</v>
      </c>
      <c r="F28">
        <v>1436936</v>
      </c>
      <c r="G28">
        <f t="shared" si="0"/>
        <v>73</v>
      </c>
      <c r="H28">
        <f t="shared" si="2"/>
        <v>73</v>
      </c>
      <c r="I28" t="str">
        <f t="shared" si="1"/>
        <v>H2B</v>
      </c>
      <c r="J28">
        <f>'Homework 1'!C28</f>
        <v>4.5</v>
      </c>
      <c r="K28">
        <f>'Homework 2'!C28</f>
        <v>2.75</v>
      </c>
      <c r="L28">
        <f>'Homework 3'!C28</f>
        <v>3.25</v>
      </c>
      <c r="M28">
        <f>'Homework 4'!C28</f>
        <v>4.25</v>
      </c>
      <c r="N28">
        <f>'Assignment 1'!C28</f>
        <v>10.5</v>
      </c>
      <c r="O28">
        <f>'Assignment 2'!C28</f>
        <v>15</v>
      </c>
      <c r="P28">
        <f>'Assignment 3'!C28</f>
        <v>14.5</v>
      </c>
      <c r="Q28">
        <f>Presentation!C28</f>
        <v>18.25</v>
      </c>
    </row>
    <row r="29" spans="1:17" x14ac:dyDescent="0.2">
      <c r="A29" t="s">
        <v>72</v>
      </c>
      <c r="B29">
        <v>270656</v>
      </c>
      <c r="C29">
        <v>1322753</v>
      </c>
      <c r="D29" t="s">
        <v>73</v>
      </c>
      <c r="E29" t="s">
        <v>19</v>
      </c>
      <c r="F29">
        <v>1322753</v>
      </c>
      <c r="G29">
        <f t="shared" si="0"/>
        <v>76.25</v>
      </c>
      <c r="H29">
        <f t="shared" si="2"/>
        <v>77</v>
      </c>
      <c r="I29" t="str">
        <f t="shared" si="1"/>
        <v>H2A</v>
      </c>
      <c r="J29">
        <f>'Homework 1'!C29</f>
        <v>3.75</v>
      </c>
      <c r="K29">
        <f>'Homework 2'!C29</f>
        <v>4</v>
      </c>
      <c r="L29">
        <f>'Homework 3'!C29</f>
        <v>4</v>
      </c>
      <c r="M29">
        <f>'Homework 4'!C29</f>
        <v>4</v>
      </c>
      <c r="N29">
        <f>'Assignment 1'!C29</f>
        <v>14.5</v>
      </c>
      <c r="O29">
        <f>'Assignment 2'!C29</f>
        <v>14.75</v>
      </c>
      <c r="P29">
        <f>'Assignment 3'!C29</f>
        <v>16.5</v>
      </c>
      <c r="Q29">
        <f>Presentation!C29</f>
        <v>14.75</v>
      </c>
    </row>
    <row r="30" spans="1:17" x14ac:dyDescent="0.2">
      <c r="A30" t="s">
        <v>74</v>
      </c>
      <c r="B30">
        <v>298126</v>
      </c>
      <c r="C30">
        <v>1474916</v>
      </c>
      <c r="D30" t="s">
        <v>75</v>
      </c>
      <c r="E30" t="s">
        <v>19</v>
      </c>
      <c r="F30">
        <v>1474916</v>
      </c>
      <c r="G30">
        <f t="shared" si="0"/>
        <v>84</v>
      </c>
      <c r="H30">
        <f t="shared" si="2"/>
        <v>84</v>
      </c>
      <c r="I30" t="str">
        <f t="shared" si="1"/>
        <v>H1</v>
      </c>
      <c r="J30">
        <f>'Homework 1'!C30</f>
        <v>4.5</v>
      </c>
      <c r="K30">
        <f>'Homework 2'!C30</f>
        <v>4</v>
      </c>
      <c r="L30">
        <f>'Homework 3'!C30</f>
        <v>4.25</v>
      </c>
      <c r="M30">
        <f>'Homework 4'!C30</f>
        <v>4.75</v>
      </c>
      <c r="N30">
        <f>'Assignment 1'!C30</f>
        <v>16.5</v>
      </c>
      <c r="O30">
        <f>'Assignment 2'!C30</f>
        <v>16.5</v>
      </c>
      <c r="P30">
        <f>'Assignment 3'!C30</f>
        <v>14.75</v>
      </c>
      <c r="Q30">
        <f>Presentation!C30</f>
        <v>18.75</v>
      </c>
    </row>
    <row r="31" spans="1:17" x14ac:dyDescent="0.2">
      <c r="A31" t="s">
        <v>76</v>
      </c>
      <c r="B31">
        <v>266643</v>
      </c>
      <c r="C31">
        <v>1036484</v>
      </c>
      <c r="D31" t="s">
        <v>77</v>
      </c>
      <c r="E31" t="s">
        <v>19</v>
      </c>
      <c r="F31">
        <v>1036484</v>
      </c>
      <c r="G31">
        <f t="shared" si="0"/>
        <v>95</v>
      </c>
      <c r="H31">
        <f t="shared" si="2"/>
        <v>95</v>
      </c>
      <c r="I31" t="str">
        <f t="shared" si="1"/>
        <v>H1</v>
      </c>
      <c r="J31">
        <f>'Homework 1'!C31</f>
        <v>5</v>
      </c>
      <c r="K31">
        <f>'Homework 2'!C31</f>
        <v>5</v>
      </c>
      <c r="L31">
        <f>'Homework 3'!C31</f>
        <v>4.75</v>
      </c>
      <c r="M31">
        <f>'Homework 4'!C31</f>
        <v>5</v>
      </c>
      <c r="N31">
        <f>'Assignment 1'!C31</f>
        <v>19.5</v>
      </c>
      <c r="O31">
        <f>'Assignment 2'!C31</f>
        <v>19.5</v>
      </c>
      <c r="P31">
        <f>'Assignment 3'!C31</f>
        <v>19</v>
      </c>
      <c r="Q31">
        <f>Presentation!C31</f>
        <v>17.25</v>
      </c>
    </row>
    <row r="32" spans="1:17" x14ac:dyDescent="0.2">
      <c r="A32" t="s">
        <v>78</v>
      </c>
      <c r="B32">
        <v>295645</v>
      </c>
      <c r="C32">
        <v>1349379</v>
      </c>
      <c r="D32" t="s">
        <v>79</v>
      </c>
      <c r="E32" t="s">
        <v>19</v>
      </c>
      <c r="F32">
        <v>1349379</v>
      </c>
      <c r="G32">
        <f t="shared" si="0"/>
        <v>79</v>
      </c>
      <c r="H32">
        <f t="shared" si="2"/>
        <v>79</v>
      </c>
      <c r="I32" t="str">
        <f t="shared" si="1"/>
        <v>H2A</v>
      </c>
      <c r="J32">
        <f>'Homework 1'!C32</f>
        <v>2.5</v>
      </c>
      <c r="K32">
        <f>'Homework 2'!C32</f>
        <v>5</v>
      </c>
      <c r="L32">
        <f>'Homework 3'!C32</f>
        <v>2.75</v>
      </c>
      <c r="M32">
        <f>'Homework 4'!C32</f>
        <v>5</v>
      </c>
      <c r="N32">
        <f>'Assignment 1'!C32</f>
        <v>14.5</v>
      </c>
      <c r="O32">
        <f>'Assignment 2'!C32</f>
        <v>16.5</v>
      </c>
      <c r="P32">
        <f>'Assignment 3'!C32</f>
        <v>16.5</v>
      </c>
      <c r="Q32">
        <f>Presentation!C32</f>
        <v>16.25</v>
      </c>
    </row>
    <row r="33" spans="1:17" x14ac:dyDescent="0.2">
      <c r="A33" t="s">
        <v>80</v>
      </c>
      <c r="B33">
        <v>316307</v>
      </c>
      <c r="C33">
        <v>1464811</v>
      </c>
      <c r="D33" t="s">
        <v>81</v>
      </c>
      <c r="E33" t="s">
        <v>19</v>
      </c>
      <c r="F33">
        <v>1464811</v>
      </c>
      <c r="G33">
        <f t="shared" si="0"/>
        <v>94</v>
      </c>
      <c r="H33">
        <f t="shared" si="2"/>
        <v>94</v>
      </c>
      <c r="I33" t="str">
        <f t="shared" si="1"/>
        <v>H1</v>
      </c>
      <c r="J33">
        <f>'Homework 1'!C33</f>
        <v>5</v>
      </c>
      <c r="K33">
        <f>'Homework 2'!C33</f>
        <v>5</v>
      </c>
      <c r="L33">
        <f>'Homework 3'!C33</f>
        <v>4.75</v>
      </c>
      <c r="M33">
        <f>'Homework 4'!C33</f>
        <v>5</v>
      </c>
      <c r="N33">
        <f>'Assignment 1'!C33</f>
        <v>18.5</v>
      </c>
      <c r="O33">
        <f>'Assignment 2'!C33</f>
        <v>19.5</v>
      </c>
      <c r="P33">
        <f>'Assignment 3'!C33</f>
        <v>18.5</v>
      </c>
      <c r="Q33">
        <f>Presentation!C33</f>
        <v>17.75</v>
      </c>
    </row>
    <row r="34" spans="1:17" x14ac:dyDescent="0.2">
      <c r="A34" t="s">
        <v>82</v>
      </c>
      <c r="B34">
        <v>355694</v>
      </c>
      <c r="C34">
        <v>1177465</v>
      </c>
      <c r="D34" t="s">
        <v>83</v>
      </c>
      <c r="E34" t="s">
        <v>19</v>
      </c>
      <c r="F34">
        <v>1177465</v>
      </c>
      <c r="G34">
        <f t="shared" si="0"/>
        <v>84.75</v>
      </c>
      <c r="H34">
        <f t="shared" si="2"/>
        <v>85</v>
      </c>
      <c r="I34" t="str">
        <f t="shared" si="1"/>
        <v>H1</v>
      </c>
      <c r="J34">
        <f>'Homework 1'!C34</f>
        <v>4.75</v>
      </c>
      <c r="K34">
        <f>'Homework 2'!C34</f>
        <v>5</v>
      </c>
      <c r="L34">
        <f>'Homework 3'!C34</f>
        <v>4.25</v>
      </c>
      <c r="M34">
        <f>'Homework 4'!C34</f>
        <v>5</v>
      </c>
      <c r="N34">
        <f>'Assignment 1'!C34</f>
        <v>15.5</v>
      </c>
      <c r="O34">
        <f>'Assignment 2'!C34</f>
        <v>16</v>
      </c>
      <c r="P34">
        <f>'Assignment 3'!C34</f>
        <v>16.5</v>
      </c>
      <c r="Q34">
        <f>Presentation!C34</f>
        <v>17.75</v>
      </c>
    </row>
    <row r="35" spans="1:17" x14ac:dyDescent="0.2">
      <c r="A35" t="s">
        <v>84</v>
      </c>
      <c r="B35">
        <v>17220</v>
      </c>
      <c r="C35">
        <v>1086178</v>
      </c>
      <c r="D35" t="s">
        <v>85</v>
      </c>
      <c r="E35" t="s">
        <v>19</v>
      </c>
      <c r="F35">
        <v>1086178</v>
      </c>
      <c r="G35">
        <f t="shared" si="0"/>
        <v>94.25</v>
      </c>
      <c r="H35">
        <f t="shared" si="2"/>
        <v>95</v>
      </c>
      <c r="I35" t="str">
        <f t="shared" si="1"/>
        <v>H1</v>
      </c>
      <c r="J35">
        <f>'Homework 1'!C35</f>
        <v>5</v>
      </c>
      <c r="K35">
        <f>'Homework 2'!C35</f>
        <v>5</v>
      </c>
      <c r="L35">
        <f>'Homework 3'!C35</f>
        <v>5</v>
      </c>
      <c r="M35">
        <f>'Homework 4'!C35</f>
        <v>5</v>
      </c>
      <c r="N35">
        <f>'Assignment 1'!C35</f>
        <v>16.5</v>
      </c>
      <c r="O35">
        <f>'Assignment 2'!C35</f>
        <v>20</v>
      </c>
      <c r="P35">
        <f>'Assignment 3'!C35</f>
        <v>19</v>
      </c>
      <c r="Q35">
        <f>Presentation!C35</f>
        <v>18.75</v>
      </c>
    </row>
    <row r="36" spans="1:17" x14ac:dyDescent="0.2">
      <c r="A36" t="s">
        <v>86</v>
      </c>
      <c r="B36">
        <v>350360</v>
      </c>
      <c r="C36">
        <v>1533296</v>
      </c>
      <c r="D36" t="s">
        <v>87</v>
      </c>
      <c r="E36" t="s">
        <v>19</v>
      </c>
      <c r="F36">
        <v>1533296</v>
      </c>
      <c r="G36">
        <f t="shared" si="0"/>
        <v>50</v>
      </c>
      <c r="H36">
        <f t="shared" si="2"/>
        <v>50</v>
      </c>
      <c r="I36" t="str">
        <f t="shared" si="1"/>
        <v>P</v>
      </c>
      <c r="J36">
        <f>'Homework 1'!C36</f>
        <v>2.5</v>
      </c>
      <c r="K36">
        <f>'Homework 2'!C36</f>
        <v>1.5</v>
      </c>
      <c r="L36">
        <f>'Homework 3'!C36</f>
        <v>1</v>
      </c>
      <c r="M36">
        <f>'Homework 4'!C36</f>
        <v>4</v>
      </c>
      <c r="N36">
        <f>'Assignment 1'!C36</f>
        <v>9.5</v>
      </c>
      <c r="O36">
        <f>'Assignment 2'!C36</f>
        <v>8.75</v>
      </c>
      <c r="P36">
        <f>'Assignment 3'!C36</f>
        <v>9</v>
      </c>
      <c r="Q36">
        <f>Presentation!C36</f>
        <v>13.75</v>
      </c>
    </row>
    <row r="37" spans="1:17" x14ac:dyDescent="0.2">
      <c r="A37" t="s">
        <v>88</v>
      </c>
      <c r="B37">
        <v>36628</v>
      </c>
      <c r="C37">
        <v>979356</v>
      </c>
      <c r="D37" t="s">
        <v>89</v>
      </c>
      <c r="E37" t="s">
        <v>19</v>
      </c>
      <c r="F37">
        <v>979356</v>
      </c>
      <c r="G37">
        <f t="shared" si="0"/>
        <v>91</v>
      </c>
      <c r="H37">
        <f t="shared" si="2"/>
        <v>91</v>
      </c>
      <c r="I37" t="str">
        <f t="shared" si="1"/>
        <v>H1</v>
      </c>
      <c r="J37">
        <f>'Homework 1'!C37</f>
        <v>5</v>
      </c>
      <c r="K37">
        <f>'Homework 2'!C37</f>
        <v>5</v>
      </c>
      <c r="L37">
        <f>'Homework 3'!C37</f>
        <v>5</v>
      </c>
      <c r="M37">
        <f>'Homework 4'!C37</f>
        <v>5</v>
      </c>
      <c r="N37">
        <f>'Assignment 1'!C37</f>
        <v>14.5</v>
      </c>
      <c r="O37">
        <f>'Assignment 2'!C37</f>
        <v>20</v>
      </c>
      <c r="P37">
        <f>'Assignment 3'!C37</f>
        <v>19.25</v>
      </c>
      <c r="Q37">
        <f>Presentation!C37</f>
        <v>17.25</v>
      </c>
    </row>
    <row r="38" spans="1:17" x14ac:dyDescent="0.2">
      <c r="A38" t="s">
        <v>90</v>
      </c>
      <c r="B38">
        <v>330140</v>
      </c>
      <c r="C38">
        <v>1494354</v>
      </c>
      <c r="D38" t="s">
        <v>91</v>
      </c>
      <c r="E38" t="s">
        <v>19</v>
      </c>
      <c r="F38">
        <v>1494354</v>
      </c>
      <c r="G38">
        <f t="shared" si="0"/>
        <v>86</v>
      </c>
      <c r="H38">
        <f t="shared" si="2"/>
        <v>86</v>
      </c>
      <c r="I38" t="str">
        <f t="shared" si="1"/>
        <v>H1</v>
      </c>
      <c r="J38">
        <f>'Homework 1'!C38</f>
        <v>5</v>
      </c>
      <c r="K38">
        <f>'Homework 2'!C38</f>
        <v>5</v>
      </c>
      <c r="L38">
        <f>'Homework 3'!C38</f>
        <v>4.75</v>
      </c>
      <c r="M38">
        <f>'Homework 4'!C38</f>
        <v>5</v>
      </c>
      <c r="N38">
        <f>'Assignment 1'!C38</f>
        <v>16</v>
      </c>
      <c r="O38">
        <f>'Assignment 2'!C38</f>
        <v>14.75</v>
      </c>
      <c r="P38">
        <f>'Assignment 3'!C38</f>
        <v>18</v>
      </c>
      <c r="Q38">
        <f>Presentation!C38</f>
        <v>17.5</v>
      </c>
    </row>
    <row r="39" spans="1:17" x14ac:dyDescent="0.2">
      <c r="A39" t="s">
        <v>92</v>
      </c>
      <c r="B39">
        <v>317637</v>
      </c>
      <c r="C39">
        <v>1437784</v>
      </c>
      <c r="D39" t="s">
        <v>93</v>
      </c>
      <c r="E39" t="s">
        <v>19</v>
      </c>
      <c r="F39">
        <v>1437784</v>
      </c>
      <c r="G39">
        <f t="shared" si="0"/>
        <v>83.25</v>
      </c>
      <c r="H39">
        <f t="shared" si="2"/>
        <v>84</v>
      </c>
      <c r="I39" t="str">
        <f t="shared" si="1"/>
        <v>H1</v>
      </c>
      <c r="J39">
        <f>'Homework 1'!C39</f>
        <v>5</v>
      </c>
      <c r="K39">
        <f>'Homework 2'!C39</f>
        <v>5</v>
      </c>
      <c r="L39">
        <f>'Homework 3'!C39</f>
        <v>4.75</v>
      </c>
      <c r="M39">
        <f>'Homework 4'!C39</f>
        <v>4</v>
      </c>
      <c r="N39">
        <f>'Assignment 1'!C39</f>
        <v>16</v>
      </c>
      <c r="O39">
        <f>'Assignment 2'!C39</f>
        <v>14.75</v>
      </c>
      <c r="P39">
        <f>'Assignment 3'!C39</f>
        <v>17.5</v>
      </c>
      <c r="Q39">
        <f>Presentation!C39</f>
        <v>16.25</v>
      </c>
    </row>
    <row r="40" spans="1:17" x14ac:dyDescent="0.2">
      <c r="A40" t="s">
        <v>94</v>
      </c>
      <c r="B40">
        <v>342059</v>
      </c>
      <c r="C40">
        <v>1580719</v>
      </c>
      <c r="D40" t="s">
        <v>95</v>
      </c>
      <c r="E40" t="s">
        <v>19</v>
      </c>
      <c r="F40">
        <v>1580719</v>
      </c>
      <c r="G40">
        <f t="shared" si="0"/>
        <v>79</v>
      </c>
      <c r="H40">
        <f t="shared" si="2"/>
        <v>79</v>
      </c>
      <c r="I40" t="str">
        <f t="shared" si="1"/>
        <v>H2A</v>
      </c>
      <c r="J40">
        <f>'Homework 1'!C40</f>
        <v>3.75</v>
      </c>
      <c r="K40">
        <f>'Homework 2'!C40</f>
        <v>5</v>
      </c>
      <c r="L40">
        <f>'Homework 3'!C40</f>
        <v>4</v>
      </c>
      <c r="M40">
        <f>'Homework 4'!C40</f>
        <v>3</v>
      </c>
      <c r="N40">
        <f>'Assignment 1'!C40</f>
        <v>13</v>
      </c>
      <c r="O40">
        <f>'Assignment 2'!C40</f>
        <v>18.5</v>
      </c>
      <c r="P40">
        <f>'Assignment 3'!C40</f>
        <v>16.25</v>
      </c>
      <c r="Q40">
        <f>Presentation!C40</f>
        <v>15.5</v>
      </c>
    </row>
    <row r="41" spans="1:17" x14ac:dyDescent="0.2">
      <c r="A41" t="s">
        <v>96</v>
      </c>
      <c r="B41">
        <v>186145</v>
      </c>
      <c r="C41">
        <v>1270455</v>
      </c>
      <c r="D41" t="s">
        <v>97</v>
      </c>
      <c r="E41" t="s">
        <v>19</v>
      </c>
      <c r="F41">
        <v>1270455</v>
      </c>
      <c r="G41">
        <f t="shared" si="0"/>
        <v>88</v>
      </c>
      <c r="H41">
        <f t="shared" si="2"/>
        <v>88</v>
      </c>
      <c r="I41" t="str">
        <f t="shared" si="1"/>
        <v>H1</v>
      </c>
      <c r="J41">
        <f>'Homework 1'!C41</f>
        <v>4.75</v>
      </c>
      <c r="K41">
        <f>'Homework 2'!C41</f>
        <v>4.75</v>
      </c>
      <c r="L41">
        <f>'Homework 3'!C41</f>
        <v>5</v>
      </c>
      <c r="M41">
        <f>'Homework 4'!C41</f>
        <v>5</v>
      </c>
      <c r="N41">
        <f>'Assignment 1'!C41</f>
        <v>15</v>
      </c>
      <c r="O41">
        <f>'Assignment 2'!C41</f>
        <v>19</v>
      </c>
      <c r="P41">
        <f>'Assignment 3'!C41</f>
        <v>19.5</v>
      </c>
      <c r="Q41">
        <f>Presentation!C41</f>
        <v>15</v>
      </c>
    </row>
    <row r="42" spans="1:17" x14ac:dyDescent="0.2">
      <c r="A42" t="s">
        <v>98</v>
      </c>
      <c r="B42">
        <v>300335</v>
      </c>
      <c r="C42">
        <v>1442961</v>
      </c>
      <c r="D42" t="s">
        <v>99</v>
      </c>
      <c r="E42" t="s">
        <v>19</v>
      </c>
      <c r="F42">
        <v>1442961</v>
      </c>
      <c r="G42">
        <f t="shared" si="0"/>
        <v>87</v>
      </c>
      <c r="H42">
        <f t="shared" si="2"/>
        <v>87</v>
      </c>
      <c r="I42" t="str">
        <f t="shared" si="1"/>
        <v>H1</v>
      </c>
      <c r="J42">
        <f>'Homework 1'!C42</f>
        <v>2.5</v>
      </c>
      <c r="K42">
        <f>'Homework 2'!C42</f>
        <v>5</v>
      </c>
      <c r="L42">
        <f>'Homework 3'!C42</f>
        <v>4.25</v>
      </c>
      <c r="M42">
        <f>'Homework 4'!C42</f>
        <v>5</v>
      </c>
      <c r="N42">
        <f>'Assignment 1'!C42</f>
        <v>18</v>
      </c>
      <c r="O42">
        <f>'Assignment 2'!C42</f>
        <v>19.5</v>
      </c>
      <c r="P42">
        <f>'Assignment 3'!C42</f>
        <v>17</v>
      </c>
      <c r="Q42">
        <f>Presentation!C42</f>
        <v>15.75</v>
      </c>
    </row>
    <row r="43" spans="1:17" hidden="1" x14ac:dyDescent="0.2">
      <c r="A43" t="s">
        <v>100</v>
      </c>
      <c r="B43">
        <v>358473</v>
      </c>
      <c r="D43" t="s">
        <v>101</v>
      </c>
      <c r="E43" t="s">
        <v>102</v>
      </c>
      <c r="G43">
        <f t="shared" si="0"/>
        <v>0</v>
      </c>
      <c r="I43" t="str">
        <f t="shared" si="1"/>
        <v>N</v>
      </c>
      <c r="J43">
        <f>'Homework 1'!C43</f>
        <v>0</v>
      </c>
      <c r="K43">
        <f>'Homework 2'!C43</f>
        <v>0</v>
      </c>
      <c r="L43">
        <f>'Homework 3'!C43</f>
        <v>0</v>
      </c>
      <c r="M43">
        <f>'Homework 4'!C43</f>
        <v>0</v>
      </c>
      <c r="N43">
        <f>'Assignment 1'!C43</f>
        <v>0</v>
      </c>
      <c r="O43">
        <f>'Assignment 2'!C43</f>
        <v>0</v>
      </c>
      <c r="P43">
        <f>'Assignment 3'!C43</f>
        <v>0</v>
      </c>
      <c r="Q43">
        <f>Presentation!C43</f>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topLeftCell="A26" workbookViewId="0">
      <selection activeCell="A21" sqref="A21"/>
    </sheetView>
  </sheetViews>
  <sheetFormatPr baseColWidth="10" defaultRowHeight="16" x14ac:dyDescent="0.2"/>
  <cols>
    <col min="1" max="1" width="34.5" bestFit="1" customWidth="1"/>
    <col min="2" max="2" width="12.83203125" bestFit="1" customWidth="1"/>
  </cols>
  <sheetData>
    <row r="1" spans="1:11" x14ac:dyDescent="0.2">
      <c r="A1" t="str">
        <f>'Master Grades'!A1</f>
        <v>Student</v>
      </c>
      <c r="B1" t="str">
        <f>'Master Grades'!C1</f>
        <v>SIS User ID</v>
      </c>
      <c r="C1" t="s">
        <v>109</v>
      </c>
      <c r="D1" t="s">
        <v>110</v>
      </c>
      <c r="E1" t="s">
        <v>103</v>
      </c>
      <c r="F1" t="s">
        <v>104</v>
      </c>
      <c r="G1" t="s">
        <v>105</v>
      </c>
      <c r="H1" t="s">
        <v>106</v>
      </c>
      <c r="I1" t="s">
        <v>107</v>
      </c>
      <c r="J1" t="s">
        <v>108</v>
      </c>
      <c r="K1" t="s">
        <v>111</v>
      </c>
    </row>
    <row r="2" spans="1:11" x14ac:dyDescent="0.2">
      <c r="A2" t="str">
        <f>'Master Grades'!A2</f>
        <v xml:space="preserve">    Points Possible</v>
      </c>
      <c r="B2">
        <f>'Master Grades'!C2</f>
        <v>0</v>
      </c>
      <c r="C2">
        <f t="shared" ref="C2:C42" si="0">SUM(D2:J2)</f>
        <v>5</v>
      </c>
      <c r="D2">
        <v>0</v>
      </c>
      <c r="E2">
        <v>0.5</v>
      </c>
      <c r="F2">
        <v>0.75</v>
      </c>
      <c r="G2">
        <v>0.25</v>
      </c>
      <c r="H2">
        <v>1.5</v>
      </c>
      <c r="I2">
        <v>1.5</v>
      </c>
      <c r="J2">
        <v>0.5</v>
      </c>
    </row>
    <row r="3" spans="1:11" x14ac:dyDescent="0.2">
      <c r="A3" t="str">
        <f>'Master Grades'!A3</f>
        <v>CAO, Zhi</v>
      </c>
      <c r="B3">
        <f>'Master Grades'!C3</f>
        <v>1370675</v>
      </c>
      <c r="C3">
        <f t="shared" si="0"/>
        <v>4</v>
      </c>
      <c r="E3">
        <v>0.5</v>
      </c>
      <c r="F3">
        <v>0.5</v>
      </c>
      <c r="G3">
        <v>0.25</v>
      </c>
      <c r="H3">
        <v>1</v>
      </c>
      <c r="I3">
        <v>1.5</v>
      </c>
      <c r="J3">
        <v>0.25</v>
      </c>
      <c r="K3" t="s">
        <v>141</v>
      </c>
    </row>
    <row r="4" spans="1:11" x14ac:dyDescent="0.2">
      <c r="A4" t="str">
        <f>'Master Grades'!A4</f>
        <v>Cash, Lachlan</v>
      </c>
      <c r="B4">
        <f>'Master Grades'!C4</f>
        <v>995802</v>
      </c>
      <c r="C4">
        <f t="shared" si="0"/>
        <v>4.75</v>
      </c>
      <c r="E4">
        <v>0.5</v>
      </c>
      <c r="F4">
        <v>0.5</v>
      </c>
      <c r="G4">
        <v>0.25</v>
      </c>
      <c r="H4">
        <v>1.5</v>
      </c>
      <c r="I4">
        <v>1.5</v>
      </c>
      <c r="J4">
        <v>0.5</v>
      </c>
      <c r="K4" t="s">
        <v>142</v>
      </c>
    </row>
    <row r="5" spans="1:11" x14ac:dyDescent="0.2">
      <c r="A5" t="str">
        <f>'Master Grades'!A5</f>
        <v>CHEN, Yiru</v>
      </c>
      <c r="B5">
        <f>'Master Grades'!C5</f>
        <v>1417057</v>
      </c>
      <c r="C5">
        <f t="shared" si="0"/>
        <v>5</v>
      </c>
      <c r="E5">
        <v>0.5</v>
      </c>
      <c r="F5">
        <v>0.75</v>
      </c>
      <c r="G5">
        <v>0.25</v>
      </c>
      <c r="H5">
        <v>1.5</v>
      </c>
      <c r="I5">
        <v>1.5</v>
      </c>
      <c r="J5">
        <v>0.5</v>
      </c>
      <c r="K5" t="s">
        <v>117</v>
      </c>
    </row>
    <row r="6" spans="1:11" x14ac:dyDescent="0.2">
      <c r="A6" t="str">
        <f>'Master Grades'!A6</f>
        <v>Chen, Yuning</v>
      </c>
      <c r="B6">
        <f>'Master Grades'!C6</f>
        <v>1374388</v>
      </c>
      <c r="C6">
        <f t="shared" si="0"/>
        <v>4.5</v>
      </c>
      <c r="E6">
        <v>0.5</v>
      </c>
      <c r="F6">
        <v>0.5</v>
      </c>
      <c r="G6">
        <v>0.25</v>
      </c>
      <c r="H6">
        <v>1.25</v>
      </c>
      <c r="I6">
        <v>1.5</v>
      </c>
      <c r="J6">
        <v>0.5</v>
      </c>
      <c r="K6" t="s">
        <v>112</v>
      </c>
    </row>
    <row r="7" spans="1:11" x14ac:dyDescent="0.2">
      <c r="A7" t="str">
        <f>'Master Grades'!A7</f>
        <v>CUI, Kaiyue</v>
      </c>
      <c r="B7">
        <f>'Master Grades'!C7</f>
        <v>1373562</v>
      </c>
      <c r="C7">
        <f t="shared" si="0"/>
        <v>5</v>
      </c>
      <c r="E7">
        <v>0.5</v>
      </c>
      <c r="F7">
        <v>0.75</v>
      </c>
      <c r="G7">
        <v>0.25</v>
      </c>
      <c r="H7">
        <v>1.5</v>
      </c>
      <c r="I7">
        <v>1.5</v>
      </c>
      <c r="J7">
        <v>0.5</v>
      </c>
      <c r="K7" t="s">
        <v>113</v>
      </c>
    </row>
    <row r="8" spans="1:11" x14ac:dyDescent="0.2">
      <c r="A8" t="str">
        <f>'Master Grades'!A8</f>
        <v>Douglas, Gabe</v>
      </c>
      <c r="B8">
        <f>'Master Grades'!C8</f>
        <v>1443406</v>
      </c>
      <c r="C8">
        <f t="shared" si="0"/>
        <v>4.75</v>
      </c>
      <c r="E8">
        <v>0.5</v>
      </c>
      <c r="F8">
        <v>0.5</v>
      </c>
      <c r="G8">
        <v>0.25</v>
      </c>
      <c r="H8">
        <v>1.5</v>
      </c>
      <c r="I8">
        <v>1.5</v>
      </c>
      <c r="J8">
        <v>0.5</v>
      </c>
      <c r="K8" t="s">
        <v>114</v>
      </c>
    </row>
    <row r="9" spans="1:11" x14ac:dyDescent="0.2">
      <c r="A9" t="str">
        <f>'Master Grades'!A9</f>
        <v>Effiezal Aswadi, Afiq</v>
      </c>
      <c r="B9">
        <f>'Master Grades'!C9</f>
        <v>1555968</v>
      </c>
      <c r="C9">
        <f t="shared" si="0"/>
        <v>4.75</v>
      </c>
      <c r="E9">
        <v>0.5</v>
      </c>
      <c r="F9">
        <v>0.75</v>
      </c>
      <c r="G9">
        <v>0.25</v>
      </c>
      <c r="H9">
        <v>1.25</v>
      </c>
      <c r="I9">
        <v>1.5</v>
      </c>
      <c r="J9">
        <v>0.5</v>
      </c>
      <c r="K9" t="s">
        <v>115</v>
      </c>
    </row>
    <row r="10" spans="1:11" x14ac:dyDescent="0.2">
      <c r="A10" t="str">
        <f>'Master Grades'!A10</f>
        <v>GONG, Lishi</v>
      </c>
      <c r="B10">
        <f>'Master Grades'!C10</f>
        <v>1436599</v>
      </c>
      <c r="C10">
        <f t="shared" si="0"/>
        <v>4.5</v>
      </c>
      <c r="E10">
        <v>0.5</v>
      </c>
      <c r="F10">
        <v>0.5</v>
      </c>
      <c r="G10">
        <v>0.25</v>
      </c>
      <c r="H10">
        <v>1.25</v>
      </c>
      <c r="I10">
        <v>1.5</v>
      </c>
      <c r="J10">
        <v>0.5</v>
      </c>
      <c r="K10" t="s">
        <v>116</v>
      </c>
    </row>
    <row r="11" spans="1:11" x14ac:dyDescent="0.2">
      <c r="A11" t="str">
        <f>'Master Grades'!A11</f>
        <v>Griffin, Joel</v>
      </c>
      <c r="B11">
        <f>'Master Grades'!C11</f>
        <v>1072476</v>
      </c>
      <c r="C11">
        <f t="shared" si="0"/>
        <v>5</v>
      </c>
      <c r="E11">
        <v>0.5</v>
      </c>
      <c r="F11">
        <v>0.75</v>
      </c>
      <c r="G11">
        <v>0.25</v>
      </c>
      <c r="H11">
        <v>1.5</v>
      </c>
      <c r="I11">
        <v>1.5</v>
      </c>
      <c r="J11">
        <v>0.5</v>
      </c>
      <c r="K11" t="s">
        <v>117</v>
      </c>
    </row>
    <row r="12" spans="1:11" x14ac:dyDescent="0.2">
      <c r="A12" t="str">
        <f>'Master Grades'!A12</f>
        <v>HUANG, Yiran</v>
      </c>
      <c r="B12">
        <f>'Master Grades'!C12</f>
        <v>1316006</v>
      </c>
      <c r="C12">
        <f t="shared" si="0"/>
        <v>4.5</v>
      </c>
      <c r="E12">
        <v>0.5</v>
      </c>
      <c r="F12">
        <v>0.5</v>
      </c>
      <c r="G12">
        <v>0.25</v>
      </c>
      <c r="H12">
        <v>1.5</v>
      </c>
      <c r="I12">
        <v>1.5</v>
      </c>
      <c r="J12">
        <v>0.25</v>
      </c>
      <c r="K12" t="s">
        <v>118</v>
      </c>
    </row>
    <row r="13" spans="1:11" x14ac:dyDescent="0.2">
      <c r="A13" t="str">
        <f>'Master Grades'!A13</f>
        <v>Iqbal, Shadman</v>
      </c>
      <c r="B13">
        <f>'Master Grades'!C13</f>
        <v>650596</v>
      </c>
      <c r="C13">
        <f t="shared" si="0"/>
        <v>1.25</v>
      </c>
      <c r="E13">
        <v>0.5</v>
      </c>
      <c r="F13">
        <v>0.25</v>
      </c>
      <c r="G13">
        <v>0.25</v>
      </c>
      <c r="H13">
        <v>0</v>
      </c>
      <c r="I13">
        <v>0</v>
      </c>
      <c r="J13">
        <v>0.25</v>
      </c>
      <c r="K13" t="s">
        <v>119</v>
      </c>
    </row>
    <row r="14" spans="1:11" x14ac:dyDescent="0.2">
      <c r="A14" t="str">
        <f>'Master Grades'!A14</f>
        <v>Jayanthy, Danielle</v>
      </c>
      <c r="B14">
        <f>'Master Grades'!C14</f>
        <v>1063490</v>
      </c>
      <c r="C14">
        <f t="shared" si="0"/>
        <v>2.5</v>
      </c>
      <c r="E14">
        <v>0.5</v>
      </c>
      <c r="F14">
        <v>0.25</v>
      </c>
      <c r="G14">
        <v>0.25</v>
      </c>
      <c r="H14">
        <v>0.75</v>
      </c>
      <c r="I14">
        <v>0.75</v>
      </c>
      <c r="J14">
        <v>0</v>
      </c>
      <c r="K14" t="s">
        <v>120</v>
      </c>
    </row>
    <row r="15" spans="1:11" x14ac:dyDescent="0.2">
      <c r="A15" t="str">
        <f>'Master Grades'!A15</f>
        <v>Jiang, Zhuochen</v>
      </c>
      <c r="B15">
        <f>'Master Grades'!C15</f>
        <v>1502683</v>
      </c>
      <c r="C15">
        <f t="shared" si="0"/>
        <v>4.25</v>
      </c>
      <c r="E15">
        <v>0.5</v>
      </c>
      <c r="F15">
        <v>0.25</v>
      </c>
      <c r="G15">
        <v>0.25</v>
      </c>
      <c r="H15">
        <v>1.5</v>
      </c>
      <c r="I15">
        <v>1.5</v>
      </c>
      <c r="J15">
        <v>0.25</v>
      </c>
      <c r="K15" t="s">
        <v>121</v>
      </c>
    </row>
    <row r="16" spans="1:11" x14ac:dyDescent="0.2">
      <c r="A16" t="str">
        <f>'Master Grades'!A16</f>
        <v>Kim, Jiseon</v>
      </c>
      <c r="B16">
        <f>'Master Grades'!C16</f>
        <v>884343</v>
      </c>
      <c r="C16">
        <f t="shared" si="0"/>
        <v>5</v>
      </c>
      <c r="E16">
        <v>0.5</v>
      </c>
      <c r="F16">
        <v>0.75</v>
      </c>
      <c r="G16">
        <v>0.25</v>
      </c>
      <c r="H16">
        <v>1.5</v>
      </c>
      <c r="I16">
        <v>1.5</v>
      </c>
      <c r="J16">
        <v>0.5</v>
      </c>
      <c r="K16" t="s">
        <v>117</v>
      </c>
    </row>
    <row r="17" spans="1:11" x14ac:dyDescent="0.2">
      <c r="A17" t="str">
        <f>'Master Grades'!A17</f>
        <v>Li, Juji</v>
      </c>
      <c r="B17">
        <f>'Master Grades'!C17</f>
        <v>1510683</v>
      </c>
      <c r="C17">
        <f t="shared" si="0"/>
        <v>4.5</v>
      </c>
      <c r="E17">
        <v>0.5</v>
      </c>
      <c r="F17">
        <v>0.75</v>
      </c>
      <c r="G17">
        <v>0.25</v>
      </c>
      <c r="H17">
        <v>1.25</v>
      </c>
      <c r="I17">
        <v>1.5</v>
      </c>
      <c r="J17">
        <v>0.25</v>
      </c>
      <c r="K17" t="s">
        <v>122</v>
      </c>
    </row>
    <row r="18" spans="1:11" x14ac:dyDescent="0.2">
      <c r="A18" t="str">
        <f>'Master Grades'!A18</f>
        <v>Li, Zhihan</v>
      </c>
      <c r="B18">
        <f>'Master Grades'!C18</f>
        <v>1074491</v>
      </c>
      <c r="C18">
        <f t="shared" si="0"/>
        <v>1.75</v>
      </c>
      <c r="E18">
        <v>0.25</v>
      </c>
      <c r="F18">
        <v>0.5</v>
      </c>
      <c r="G18">
        <v>0.25</v>
      </c>
      <c r="H18">
        <v>0.25</v>
      </c>
      <c r="I18">
        <v>0.25</v>
      </c>
      <c r="J18">
        <v>0.25</v>
      </c>
      <c r="K18" t="s">
        <v>123</v>
      </c>
    </row>
    <row r="19" spans="1:11" x14ac:dyDescent="0.2">
      <c r="A19" t="str">
        <f>'Master Grades'!A19</f>
        <v>Ma, Jiayue</v>
      </c>
      <c r="B19">
        <f>'Master Grades'!C19</f>
        <v>1495622</v>
      </c>
      <c r="C19">
        <f t="shared" si="0"/>
        <v>2.5</v>
      </c>
      <c r="E19">
        <v>0.25</v>
      </c>
      <c r="F19">
        <v>0</v>
      </c>
      <c r="G19">
        <v>0.25</v>
      </c>
      <c r="H19">
        <v>1</v>
      </c>
      <c r="I19">
        <v>1</v>
      </c>
      <c r="J19">
        <v>0</v>
      </c>
      <c r="K19" t="s">
        <v>124</v>
      </c>
    </row>
    <row r="20" spans="1:11" x14ac:dyDescent="0.2">
      <c r="A20" t="str">
        <f>'Master Grades'!A20</f>
        <v>Mccallum, Liam</v>
      </c>
      <c r="B20">
        <f>'Master Grades'!C20</f>
        <v>992893</v>
      </c>
      <c r="C20">
        <f t="shared" si="0"/>
        <v>4.75</v>
      </c>
      <c r="E20">
        <v>0.5</v>
      </c>
      <c r="F20">
        <v>0.75</v>
      </c>
      <c r="G20">
        <v>0.25</v>
      </c>
      <c r="H20">
        <v>1.5</v>
      </c>
      <c r="I20">
        <v>1.5</v>
      </c>
      <c r="J20">
        <v>0.25</v>
      </c>
      <c r="K20" t="s">
        <v>125</v>
      </c>
    </row>
    <row r="21" spans="1:11" x14ac:dyDescent="0.2">
      <c r="A21" t="str">
        <f>'Master Grades'!A21</f>
        <v>Mifsud, Nathanael</v>
      </c>
      <c r="B21">
        <f>'Master Grades'!C21</f>
        <v>1181978</v>
      </c>
      <c r="C21">
        <f t="shared" si="0"/>
        <v>4.5</v>
      </c>
      <c r="E21">
        <v>0.5</v>
      </c>
      <c r="F21">
        <v>0.75</v>
      </c>
      <c r="G21">
        <v>0.25</v>
      </c>
      <c r="H21">
        <v>1</v>
      </c>
      <c r="I21">
        <v>1.5</v>
      </c>
      <c r="J21">
        <v>0.5</v>
      </c>
      <c r="K21" t="s">
        <v>126</v>
      </c>
    </row>
    <row r="22" spans="1:11" x14ac:dyDescent="0.2">
      <c r="A22" t="str">
        <f>'Master Grades'!A22</f>
        <v>Ouyang, Yorking</v>
      </c>
      <c r="B22">
        <f>'Master Grades'!C22</f>
        <v>1051214</v>
      </c>
      <c r="C22">
        <f t="shared" si="0"/>
        <v>5</v>
      </c>
      <c r="E22">
        <v>0.5</v>
      </c>
      <c r="F22">
        <v>0.75</v>
      </c>
      <c r="G22">
        <v>0.25</v>
      </c>
      <c r="H22">
        <v>1.5</v>
      </c>
      <c r="I22">
        <v>1.5</v>
      </c>
      <c r="J22">
        <v>0.5</v>
      </c>
      <c r="K22" t="s">
        <v>117</v>
      </c>
    </row>
    <row r="23" spans="1:11" hidden="1" x14ac:dyDescent="0.2">
      <c r="A23" t="str">
        <f>'Master Grades'!A23</f>
        <v>Rammohan, Radhik</v>
      </c>
      <c r="B23" t="str">
        <f>'Master Grades'!C23</f>
        <v>ex.rrammohan</v>
      </c>
      <c r="C23">
        <f t="shared" si="0"/>
        <v>0</v>
      </c>
    </row>
    <row r="24" spans="1:11" hidden="1" x14ac:dyDescent="0.2">
      <c r="A24" t="str">
        <f>'Master Grades'!A24</f>
        <v>Sheng, Kwan</v>
      </c>
      <c r="B24" t="str">
        <f>'Master Grades'!C24</f>
        <v>ex.shengk</v>
      </c>
      <c r="C24">
        <f t="shared" si="0"/>
        <v>0</v>
      </c>
    </row>
    <row r="25" spans="1:11" x14ac:dyDescent="0.2">
      <c r="A25" t="str">
        <f>'Master Grades'!A25</f>
        <v>Smith, Zac</v>
      </c>
      <c r="B25">
        <f>'Master Grades'!C25</f>
        <v>1549443</v>
      </c>
      <c r="C25">
        <f t="shared" si="0"/>
        <v>4.5</v>
      </c>
      <c r="E25">
        <v>0.25</v>
      </c>
      <c r="F25">
        <v>0.75</v>
      </c>
      <c r="G25">
        <v>0.25</v>
      </c>
      <c r="H25">
        <v>1.5</v>
      </c>
      <c r="I25">
        <v>1.5</v>
      </c>
      <c r="J25">
        <v>0.25</v>
      </c>
      <c r="K25" t="s">
        <v>127</v>
      </c>
    </row>
    <row r="26" spans="1:11" x14ac:dyDescent="0.2">
      <c r="A26" t="str">
        <f>'Master Grades'!A26</f>
        <v>SUN, Guangyue</v>
      </c>
      <c r="B26">
        <f>'Master Grades'!C26</f>
        <v>1510033</v>
      </c>
      <c r="C26">
        <f t="shared" si="0"/>
        <v>3.25</v>
      </c>
      <c r="E26">
        <v>0.25</v>
      </c>
      <c r="F26">
        <v>0.25</v>
      </c>
      <c r="G26">
        <v>0.25</v>
      </c>
      <c r="H26">
        <v>1.25</v>
      </c>
      <c r="I26">
        <v>1</v>
      </c>
      <c r="J26">
        <v>0.25</v>
      </c>
      <c r="K26" t="s">
        <v>128</v>
      </c>
    </row>
    <row r="27" spans="1:11" x14ac:dyDescent="0.2">
      <c r="A27" t="str">
        <f>'Master Grades'!A27</f>
        <v>Sutherland, William</v>
      </c>
      <c r="B27">
        <f>'Master Grades'!C27</f>
        <v>1168383</v>
      </c>
      <c r="C27">
        <f t="shared" si="0"/>
        <v>2.75</v>
      </c>
      <c r="D27">
        <v>-1</v>
      </c>
      <c r="E27">
        <v>0.5</v>
      </c>
      <c r="F27">
        <v>0.5</v>
      </c>
      <c r="G27">
        <v>0.25</v>
      </c>
      <c r="H27">
        <v>1</v>
      </c>
      <c r="I27">
        <v>1</v>
      </c>
      <c r="J27">
        <v>0.5</v>
      </c>
      <c r="K27" t="s">
        <v>129</v>
      </c>
    </row>
    <row r="28" spans="1:11" x14ac:dyDescent="0.2">
      <c r="A28" t="str">
        <f>'Master Grades'!A28</f>
        <v>Syed Muhammad Naquib Al Aidrus, Nadia</v>
      </c>
      <c r="B28">
        <f>'Master Grades'!C28</f>
        <v>1436936</v>
      </c>
      <c r="C28">
        <f t="shared" si="0"/>
        <v>4.5</v>
      </c>
      <c r="E28">
        <v>0.5</v>
      </c>
      <c r="F28">
        <v>0.5</v>
      </c>
      <c r="G28">
        <v>0.25</v>
      </c>
      <c r="H28">
        <v>1.5</v>
      </c>
      <c r="I28">
        <v>1.5</v>
      </c>
      <c r="J28">
        <v>0.25</v>
      </c>
      <c r="K28" t="s">
        <v>130</v>
      </c>
    </row>
    <row r="29" spans="1:11" x14ac:dyDescent="0.2">
      <c r="A29" t="str">
        <f>'Master Grades'!A29</f>
        <v>Tian, Lutong</v>
      </c>
      <c r="B29">
        <f>'Master Grades'!C29</f>
        <v>1322753</v>
      </c>
      <c r="C29">
        <f t="shared" si="0"/>
        <v>3.75</v>
      </c>
      <c r="E29">
        <v>0.5</v>
      </c>
      <c r="F29">
        <v>0.5</v>
      </c>
      <c r="G29">
        <v>0.25</v>
      </c>
      <c r="H29">
        <v>1</v>
      </c>
      <c r="I29">
        <v>1</v>
      </c>
      <c r="J29">
        <v>0.5</v>
      </c>
      <c r="K29" t="s">
        <v>131</v>
      </c>
    </row>
    <row r="30" spans="1:11" x14ac:dyDescent="0.2">
      <c r="A30" t="str">
        <f>'Master Grades'!A30</f>
        <v>Todd, Matthew</v>
      </c>
      <c r="B30">
        <f>'Master Grades'!C30</f>
        <v>1474916</v>
      </c>
      <c r="C30">
        <f t="shared" si="0"/>
        <v>4.5</v>
      </c>
      <c r="E30">
        <v>0.5</v>
      </c>
      <c r="F30">
        <v>0.75</v>
      </c>
      <c r="G30">
        <v>0.25</v>
      </c>
      <c r="H30">
        <v>1.25</v>
      </c>
      <c r="I30">
        <v>1.25</v>
      </c>
      <c r="J30">
        <v>0.5</v>
      </c>
      <c r="K30" t="s">
        <v>132</v>
      </c>
    </row>
    <row r="31" spans="1:11" x14ac:dyDescent="0.2">
      <c r="A31" t="str">
        <f>'Master Grades'!A31</f>
        <v>Wei, Yizhou</v>
      </c>
      <c r="B31">
        <f>'Master Grades'!C31</f>
        <v>1036484</v>
      </c>
      <c r="C31">
        <f t="shared" si="0"/>
        <v>5</v>
      </c>
      <c r="E31">
        <v>0.5</v>
      </c>
      <c r="F31">
        <v>0.75</v>
      </c>
      <c r="G31">
        <v>0.25</v>
      </c>
      <c r="H31">
        <v>1.5</v>
      </c>
      <c r="I31">
        <v>1.5</v>
      </c>
      <c r="J31">
        <v>0.5</v>
      </c>
      <c r="K31" t="s">
        <v>117</v>
      </c>
    </row>
    <row r="32" spans="1:11" x14ac:dyDescent="0.2">
      <c r="A32" t="str">
        <f>'Master Grades'!A32</f>
        <v>Wu, Yilei</v>
      </c>
      <c r="B32">
        <f>'Master Grades'!C32</f>
        <v>1349379</v>
      </c>
      <c r="C32">
        <f t="shared" si="0"/>
        <v>2.5</v>
      </c>
      <c r="E32">
        <v>0.5</v>
      </c>
      <c r="F32">
        <v>0.25</v>
      </c>
      <c r="G32">
        <v>0.25</v>
      </c>
      <c r="H32">
        <v>1</v>
      </c>
      <c r="I32">
        <v>0</v>
      </c>
      <c r="J32">
        <v>0.5</v>
      </c>
      <c r="K32" t="s">
        <v>133</v>
      </c>
    </row>
    <row r="33" spans="1:11" x14ac:dyDescent="0.2">
      <c r="A33" t="str">
        <f>'Master Grades'!A33</f>
        <v>Xiao, Shutian</v>
      </c>
      <c r="B33">
        <f>'Master Grades'!C33</f>
        <v>1464811</v>
      </c>
      <c r="C33">
        <f t="shared" si="0"/>
        <v>5</v>
      </c>
      <c r="E33">
        <v>0.5</v>
      </c>
      <c r="F33">
        <v>0.75</v>
      </c>
      <c r="G33">
        <v>0.25</v>
      </c>
      <c r="H33">
        <v>1.5</v>
      </c>
      <c r="I33">
        <v>1.5</v>
      </c>
      <c r="J33">
        <v>0.5</v>
      </c>
      <c r="K33" t="s">
        <v>117</v>
      </c>
    </row>
    <row r="34" spans="1:11" x14ac:dyDescent="0.2">
      <c r="A34" t="str">
        <f>'Master Grades'!A34</f>
        <v>YAN, Kun</v>
      </c>
      <c r="B34">
        <f>'Master Grades'!C34</f>
        <v>1177465</v>
      </c>
      <c r="C34">
        <f t="shared" si="0"/>
        <v>4.75</v>
      </c>
      <c r="E34">
        <v>0.5</v>
      </c>
      <c r="F34">
        <v>0.5</v>
      </c>
      <c r="G34">
        <v>0.25</v>
      </c>
      <c r="H34">
        <v>1.5</v>
      </c>
      <c r="I34">
        <v>1.5</v>
      </c>
      <c r="J34">
        <v>0.5</v>
      </c>
      <c r="K34" t="s">
        <v>134</v>
      </c>
    </row>
    <row r="35" spans="1:11" x14ac:dyDescent="0.2">
      <c r="A35" t="str">
        <f>'Master Grades'!A35</f>
        <v>Young, Carson</v>
      </c>
      <c r="B35">
        <f>'Master Grades'!C35</f>
        <v>1086178</v>
      </c>
      <c r="C35">
        <f t="shared" si="0"/>
        <v>5</v>
      </c>
      <c r="E35">
        <v>0.5</v>
      </c>
      <c r="F35">
        <v>0.75</v>
      </c>
      <c r="G35">
        <v>0.25</v>
      </c>
      <c r="H35">
        <v>1.5</v>
      </c>
      <c r="I35">
        <v>1.5</v>
      </c>
      <c r="J35">
        <v>0.5</v>
      </c>
      <c r="K35" t="s">
        <v>117</v>
      </c>
    </row>
    <row r="36" spans="1:11" x14ac:dyDescent="0.2">
      <c r="A36" t="str">
        <f>'Master Grades'!A36</f>
        <v>Yuan, Zuoting</v>
      </c>
      <c r="B36">
        <f>'Master Grades'!C36</f>
        <v>1533296</v>
      </c>
      <c r="C36">
        <f t="shared" si="0"/>
        <v>2.5</v>
      </c>
      <c r="E36">
        <v>0.5</v>
      </c>
      <c r="F36">
        <v>0.25</v>
      </c>
      <c r="G36">
        <v>0.25</v>
      </c>
      <c r="H36">
        <v>0.5</v>
      </c>
      <c r="I36">
        <v>0.5</v>
      </c>
      <c r="J36">
        <v>0.5</v>
      </c>
      <c r="K36" t="s">
        <v>135</v>
      </c>
    </row>
    <row r="37" spans="1:11" x14ac:dyDescent="0.2">
      <c r="A37" t="str">
        <f>'Master Grades'!A37</f>
        <v>Zhang, Andrew</v>
      </c>
      <c r="B37">
        <f>'Master Grades'!C37</f>
        <v>979356</v>
      </c>
      <c r="C37">
        <f t="shared" si="0"/>
        <v>5</v>
      </c>
      <c r="E37">
        <v>0.5</v>
      </c>
      <c r="F37">
        <v>0.75</v>
      </c>
      <c r="G37">
        <v>0.25</v>
      </c>
      <c r="H37">
        <v>1.5</v>
      </c>
      <c r="I37">
        <v>1.5</v>
      </c>
      <c r="J37">
        <v>0.5</v>
      </c>
      <c r="K37" t="s">
        <v>136</v>
      </c>
    </row>
    <row r="38" spans="1:11" x14ac:dyDescent="0.2">
      <c r="A38" t="str">
        <f>'Master Grades'!A38</f>
        <v>ZHANG, Ziang</v>
      </c>
      <c r="B38">
        <f>'Master Grades'!C38</f>
        <v>1494354</v>
      </c>
      <c r="C38">
        <f t="shared" si="0"/>
        <v>5</v>
      </c>
      <c r="E38">
        <v>0.5</v>
      </c>
      <c r="F38">
        <v>0.75</v>
      </c>
      <c r="G38">
        <v>0.25</v>
      </c>
      <c r="H38">
        <v>1.5</v>
      </c>
      <c r="I38">
        <v>1.5</v>
      </c>
      <c r="J38">
        <v>0.5</v>
      </c>
      <c r="K38" t="s">
        <v>137</v>
      </c>
    </row>
    <row r="39" spans="1:11" x14ac:dyDescent="0.2">
      <c r="A39" t="str">
        <f>'Master Grades'!A39</f>
        <v>Zhao, Hongyu</v>
      </c>
      <c r="B39">
        <f>'Master Grades'!C39</f>
        <v>1437784</v>
      </c>
      <c r="C39">
        <f t="shared" si="0"/>
        <v>5</v>
      </c>
      <c r="E39">
        <v>0.5</v>
      </c>
      <c r="F39">
        <v>0.75</v>
      </c>
      <c r="G39">
        <v>0.25</v>
      </c>
      <c r="H39">
        <v>1.5</v>
      </c>
      <c r="I39">
        <v>1.5</v>
      </c>
      <c r="J39">
        <v>0.5</v>
      </c>
      <c r="K39" t="s">
        <v>117</v>
      </c>
    </row>
    <row r="40" spans="1:11" x14ac:dyDescent="0.2">
      <c r="A40" t="str">
        <f>'Master Grades'!A40</f>
        <v>ZHAO, Yang</v>
      </c>
      <c r="B40">
        <f>'Master Grades'!C40</f>
        <v>1580719</v>
      </c>
      <c r="C40">
        <f t="shared" si="0"/>
        <v>3.75</v>
      </c>
      <c r="E40">
        <v>0.5</v>
      </c>
      <c r="F40">
        <v>0.5</v>
      </c>
      <c r="G40">
        <v>0.25</v>
      </c>
      <c r="H40">
        <v>1</v>
      </c>
      <c r="I40">
        <v>1</v>
      </c>
      <c r="J40">
        <v>0.5</v>
      </c>
      <c r="K40" t="s">
        <v>138</v>
      </c>
    </row>
    <row r="41" spans="1:11" x14ac:dyDescent="0.2">
      <c r="A41" t="str">
        <f>'Master Grades'!A41</f>
        <v>Zhou, Howie</v>
      </c>
      <c r="B41">
        <f>'Master Grades'!C41</f>
        <v>1270455</v>
      </c>
      <c r="C41">
        <f t="shared" si="0"/>
        <v>4.75</v>
      </c>
      <c r="E41">
        <v>0.5</v>
      </c>
      <c r="F41">
        <v>0.5</v>
      </c>
      <c r="G41">
        <v>0.25</v>
      </c>
      <c r="H41">
        <v>1.5</v>
      </c>
      <c r="I41">
        <v>1.5</v>
      </c>
      <c r="J41">
        <v>0.5</v>
      </c>
      <c r="K41" t="s">
        <v>139</v>
      </c>
    </row>
    <row r="42" spans="1:11" x14ac:dyDescent="0.2">
      <c r="A42" t="str">
        <f>'Master Grades'!A42</f>
        <v>ZHU, Qing</v>
      </c>
      <c r="B42">
        <f>'Master Grades'!C42</f>
        <v>1442961</v>
      </c>
      <c r="C42">
        <f t="shared" si="0"/>
        <v>2.5</v>
      </c>
      <c r="E42">
        <v>0.5</v>
      </c>
      <c r="F42">
        <v>0.25</v>
      </c>
      <c r="G42">
        <v>0.25</v>
      </c>
      <c r="H42">
        <v>0.5</v>
      </c>
      <c r="I42">
        <v>0.5</v>
      </c>
      <c r="J42">
        <v>0.5</v>
      </c>
      <c r="K42"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3880-5CA5-F042-B007-33B16EB8127A}">
  <dimension ref="A1:J42"/>
  <sheetViews>
    <sheetView zoomScaleNormal="100" workbookViewId="0">
      <selection activeCell="A23" sqref="A23:XFD23"/>
    </sheetView>
  </sheetViews>
  <sheetFormatPr baseColWidth="10" defaultRowHeight="16" x14ac:dyDescent="0.2"/>
  <cols>
    <col min="4" max="9" width="10.83203125" customWidth="1"/>
  </cols>
  <sheetData>
    <row r="1" spans="1:10" x14ac:dyDescent="0.2">
      <c r="A1" t="str">
        <f>'Master Grades'!A1</f>
        <v>Student</v>
      </c>
      <c r="B1" t="str">
        <f>'Master Grades'!C1</f>
        <v>SIS User ID</v>
      </c>
      <c r="C1" t="s">
        <v>109</v>
      </c>
      <c r="D1" t="s">
        <v>110</v>
      </c>
      <c r="E1" t="s">
        <v>143</v>
      </c>
      <c r="F1" t="s">
        <v>144</v>
      </c>
      <c r="G1" t="s">
        <v>105</v>
      </c>
      <c r="H1" t="s">
        <v>145</v>
      </c>
      <c r="I1" t="s">
        <v>108</v>
      </c>
      <c r="J1" t="s">
        <v>111</v>
      </c>
    </row>
    <row r="2" spans="1:10" x14ac:dyDescent="0.2">
      <c r="A2" t="str">
        <f>'Master Grades'!A2</f>
        <v xml:space="preserve">    Points Possible</v>
      </c>
      <c r="B2">
        <f>'Master Grades'!C2</f>
        <v>0</v>
      </c>
      <c r="C2">
        <f>SUM(D2:I2)</f>
        <v>5</v>
      </c>
      <c r="D2">
        <v>0</v>
      </c>
      <c r="E2">
        <v>1</v>
      </c>
      <c r="F2">
        <v>1.5</v>
      </c>
      <c r="G2">
        <v>1.5</v>
      </c>
      <c r="H2">
        <v>0.5</v>
      </c>
      <c r="I2">
        <v>0.5</v>
      </c>
    </row>
    <row r="3" spans="1:10" x14ac:dyDescent="0.2">
      <c r="A3" t="str">
        <f>'Master Grades'!A3</f>
        <v>CAO, Zhi</v>
      </c>
      <c r="B3">
        <f>'Master Grades'!C3</f>
        <v>1370675</v>
      </c>
      <c r="C3">
        <f t="shared" ref="C3:C42" si="0">SUM(D3:I3)</f>
        <v>1.75</v>
      </c>
      <c r="E3">
        <v>0.5</v>
      </c>
      <c r="F3">
        <v>0.5</v>
      </c>
      <c r="G3">
        <v>0.5</v>
      </c>
      <c r="H3">
        <v>0.25</v>
      </c>
      <c r="I3">
        <v>0</v>
      </c>
      <c r="J3" t="s">
        <v>166</v>
      </c>
    </row>
    <row r="4" spans="1:10" x14ac:dyDescent="0.2">
      <c r="A4" t="str">
        <f>'Master Grades'!A4</f>
        <v>Cash, Lachlan</v>
      </c>
      <c r="B4">
        <f>'Master Grades'!C4</f>
        <v>995802</v>
      </c>
      <c r="C4">
        <f t="shared" si="0"/>
        <v>5</v>
      </c>
      <c r="E4">
        <v>1</v>
      </c>
      <c r="F4">
        <v>1.5</v>
      </c>
      <c r="G4">
        <v>1.5</v>
      </c>
      <c r="H4">
        <v>0.5</v>
      </c>
      <c r="I4">
        <v>0.5</v>
      </c>
    </row>
    <row r="5" spans="1:10" x14ac:dyDescent="0.2">
      <c r="A5" t="str">
        <f>'Master Grades'!A5</f>
        <v>CHEN, Yiru</v>
      </c>
      <c r="B5">
        <f>'Master Grades'!C5</f>
        <v>1417057</v>
      </c>
      <c r="C5">
        <f t="shared" si="0"/>
        <v>5</v>
      </c>
      <c r="E5">
        <v>1</v>
      </c>
      <c r="F5">
        <v>1.5</v>
      </c>
      <c r="G5">
        <v>1.5</v>
      </c>
      <c r="H5">
        <v>0.5</v>
      </c>
      <c r="I5">
        <v>0.5</v>
      </c>
    </row>
    <row r="6" spans="1:10" x14ac:dyDescent="0.2">
      <c r="A6" t="str">
        <f>'Master Grades'!A6</f>
        <v>Chen, Yuning</v>
      </c>
      <c r="B6">
        <f>'Master Grades'!C6</f>
        <v>1374388</v>
      </c>
      <c r="C6">
        <f t="shared" si="0"/>
        <v>5</v>
      </c>
      <c r="E6">
        <v>1</v>
      </c>
      <c r="F6">
        <v>1.5</v>
      </c>
      <c r="G6">
        <v>1.5</v>
      </c>
      <c r="H6">
        <v>0.5</v>
      </c>
      <c r="I6">
        <v>0.5</v>
      </c>
    </row>
    <row r="7" spans="1:10" x14ac:dyDescent="0.2">
      <c r="A7" t="str">
        <f>'Master Grades'!A7</f>
        <v>CUI, Kaiyue</v>
      </c>
      <c r="B7">
        <f>'Master Grades'!C7</f>
        <v>1373562</v>
      </c>
      <c r="C7">
        <f t="shared" si="0"/>
        <v>5</v>
      </c>
      <c r="E7">
        <v>1</v>
      </c>
      <c r="F7">
        <v>1.5</v>
      </c>
      <c r="G7">
        <v>1.5</v>
      </c>
      <c r="H7">
        <v>0.5</v>
      </c>
      <c r="I7">
        <v>0.5</v>
      </c>
    </row>
    <row r="8" spans="1:10" x14ac:dyDescent="0.2">
      <c r="A8" t="str">
        <f>'Master Grades'!A8</f>
        <v>Douglas, Gabe</v>
      </c>
      <c r="B8">
        <f>'Master Grades'!C8</f>
        <v>1443406</v>
      </c>
      <c r="C8">
        <f t="shared" si="0"/>
        <v>5</v>
      </c>
      <c r="E8">
        <v>1</v>
      </c>
      <c r="F8">
        <v>1.5</v>
      </c>
      <c r="G8">
        <v>1.5</v>
      </c>
      <c r="H8">
        <v>0.5</v>
      </c>
      <c r="I8">
        <v>0.5</v>
      </c>
    </row>
    <row r="9" spans="1:10" x14ac:dyDescent="0.2">
      <c r="A9" t="str">
        <f>'Master Grades'!A9</f>
        <v>Effiezal Aswadi, Afiq</v>
      </c>
      <c r="B9">
        <f>'Master Grades'!C9</f>
        <v>1555968</v>
      </c>
      <c r="C9">
        <f t="shared" si="0"/>
        <v>4.25</v>
      </c>
      <c r="E9">
        <v>1</v>
      </c>
      <c r="F9">
        <v>0.75</v>
      </c>
      <c r="G9">
        <v>1.5</v>
      </c>
      <c r="H9">
        <v>0.5</v>
      </c>
      <c r="I9">
        <v>0.5</v>
      </c>
      <c r="J9" t="s">
        <v>165</v>
      </c>
    </row>
    <row r="10" spans="1:10" x14ac:dyDescent="0.2">
      <c r="A10" t="str">
        <f>'Master Grades'!A10</f>
        <v>GONG, Lishi</v>
      </c>
      <c r="B10">
        <f>'Master Grades'!C10</f>
        <v>1436599</v>
      </c>
      <c r="C10">
        <f t="shared" si="0"/>
        <v>4.5</v>
      </c>
      <c r="E10">
        <v>1</v>
      </c>
      <c r="F10">
        <v>1.5</v>
      </c>
      <c r="G10">
        <v>1.5</v>
      </c>
      <c r="H10">
        <v>0</v>
      </c>
      <c r="I10">
        <v>0.5</v>
      </c>
      <c r="J10" t="s">
        <v>164</v>
      </c>
    </row>
    <row r="11" spans="1:10" x14ac:dyDescent="0.2">
      <c r="A11" t="str">
        <f>'Master Grades'!A11</f>
        <v>Griffin, Joel</v>
      </c>
      <c r="B11">
        <f>'Master Grades'!C11</f>
        <v>1072476</v>
      </c>
      <c r="C11">
        <f t="shared" si="0"/>
        <v>5</v>
      </c>
      <c r="E11">
        <v>1</v>
      </c>
      <c r="F11">
        <v>1.5</v>
      </c>
      <c r="G11">
        <v>1.5</v>
      </c>
      <c r="H11">
        <v>0.5</v>
      </c>
      <c r="I11">
        <v>0.5</v>
      </c>
      <c r="J11" t="s">
        <v>163</v>
      </c>
    </row>
    <row r="12" spans="1:10" s="2" customFormat="1" x14ac:dyDescent="0.2">
      <c r="A12" s="2" t="str">
        <f>'Master Grades'!A12</f>
        <v>HUANG, Yiran</v>
      </c>
      <c r="B12" s="2">
        <f>'Master Grades'!C12</f>
        <v>1316006</v>
      </c>
      <c r="C12" s="2">
        <f t="shared" si="0"/>
        <v>2.75</v>
      </c>
      <c r="E12" s="2">
        <v>0.5</v>
      </c>
      <c r="F12" s="2">
        <v>0.5</v>
      </c>
      <c r="G12" s="2">
        <v>1</v>
      </c>
      <c r="H12" s="2">
        <v>0.25</v>
      </c>
      <c r="I12" s="2">
        <v>0.5</v>
      </c>
      <c r="J12" s="2" t="s">
        <v>223</v>
      </c>
    </row>
    <row r="13" spans="1:10" x14ac:dyDescent="0.2">
      <c r="A13" t="str">
        <f>'Master Grades'!A13</f>
        <v>Iqbal, Shadman</v>
      </c>
      <c r="B13">
        <f>'Master Grades'!C13</f>
        <v>650596</v>
      </c>
      <c r="C13">
        <f t="shared" si="0"/>
        <v>5</v>
      </c>
      <c r="E13">
        <v>1</v>
      </c>
      <c r="F13">
        <v>1.5</v>
      </c>
      <c r="G13">
        <v>1.5</v>
      </c>
      <c r="H13">
        <v>0.5</v>
      </c>
      <c r="I13">
        <v>0.5</v>
      </c>
      <c r="J13" t="s">
        <v>162</v>
      </c>
    </row>
    <row r="14" spans="1:10" x14ac:dyDescent="0.2">
      <c r="A14" t="str">
        <f>'Master Grades'!A14</f>
        <v>Jayanthy, Danielle</v>
      </c>
      <c r="B14">
        <f>'Master Grades'!C14</f>
        <v>1063490</v>
      </c>
      <c r="C14">
        <f t="shared" si="0"/>
        <v>3.75</v>
      </c>
      <c r="E14">
        <v>0.75</v>
      </c>
      <c r="F14">
        <v>1</v>
      </c>
      <c r="G14">
        <v>1.5</v>
      </c>
      <c r="H14">
        <v>0</v>
      </c>
      <c r="I14">
        <v>0.5</v>
      </c>
      <c r="J14" t="s">
        <v>161</v>
      </c>
    </row>
    <row r="15" spans="1:10" x14ac:dyDescent="0.2">
      <c r="A15" t="str">
        <f>'Master Grades'!A15</f>
        <v>Jiang, Zhuochen</v>
      </c>
      <c r="B15">
        <f>'Master Grades'!C15</f>
        <v>1502683</v>
      </c>
      <c r="C15">
        <f t="shared" si="0"/>
        <v>3.5</v>
      </c>
      <c r="E15">
        <v>1</v>
      </c>
      <c r="F15">
        <v>0.5</v>
      </c>
      <c r="G15">
        <v>1.25</v>
      </c>
      <c r="H15">
        <v>0.25</v>
      </c>
      <c r="I15">
        <v>0.5</v>
      </c>
      <c r="J15" t="s">
        <v>222</v>
      </c>
    </row>
    <row r="16" spans="1:10" x14ac:dyDescent="0.2">
      <c r="A16" t="str">
        <f>'Master Grades'!A16</f>
        <v>Kim, Jiseon</v>
      </c>
      <c r="B16">
        <f>'Master Grades'!C16</f>
        <v>884343</v>
      </c>
      <c r="C16">
        <f t="shared" si="0"/>
        <v>4</v>
      </c>
      <c r="E16">
        <v>1</v>
      </c>
      <c r="F16">
        <v>0.75</v>
      </c>
      <c r="G16">
        <v>1.5</v>
      </c>
      <c r="H16">
        <v>0.25</v>
      </c>
      <c r="I16">
        <v>0.5</v>
      </c>
      <c r="J16" t="s">
        <v>160</v>
      </c>
    </row>
    <row r="17" spans="1:10" x14ac:dyDescent="0.2">
      <c r="A17" t="str">
        <f>'Master Grades'!A17</f>
        <v>Li, Juji</v>
      </c>
      <c r="B17">
        <f>'Master Grades'!C17</f>
        <v>1510683</v>
      </c>
      <c r="C17">
        <f t="shared" si="0"/>
        <v>3.25</v>
      </c>
      <c r="E17">
        <v>1</v>
      </c>
      <c r="F17">
        <v>0.75</v>
      </c>
      <c r="G17">
        <v>1</v>
      </c>
      <c r="H17">
        <v>0.5</v>
      </c>
      <c r="I17">
        <v>0</v>
      </c>
      <c r="J17" t="s">
        <v>159</v>
      </c>
    </row>
    <row r="18" spans="1:10" x14ac:dyDescent="0.2">
      <c r="A18" t="str">
        <f>'Master Grades'!A18</f>
        <v>Li, Zhihan</v>
      </c>
      <c r="B18">
        <f>'Master Grades'!C18</f>
        <v>1074491</v>
      </c>
      <c r="C18">
        <f t="shared" si="0"/>
        <v>2</v>
      </c>
      <c r="E18">
        <v>0.5</v>
      </c>
      <c r="F18">
        <v>0.5</v>
      </c>
      <c r="G18">
        <v>0.5</v>
      </c>
      <c r="H18">
        <v>0.25</v>
      </c>
      <c r="I18">
        <v>0.25</v>
      </c>
      <c r="J18" t="s">
        <v>158</v>
      </c>
    </row>
    <row r="19" spans="1:10" x14ac:dyDescent="0.2">
      <c r="A19" t="str">
        <f>'Master Grades'!A19</f>
        <v>Ma, Jiayue</v>
      </c>
      <c r="B19">
        <f>'Master Grades'!C19</f>
        <v>1495622</v>
      </c>
      <c r="C19">
        <f t="shared" si="0"/>
        <v>1.75</v>
      </c>
      <c r="E19">
        <v>0.25</v>
      </c>
      <c r="F19">
        <v>0.5</v>
      </c>
      <c r="G19">
        <v>1</v>
      </c>
      <c r="H19">
        <v>0</v>
      </c>
      <c r="I19">
        <v>0</v>
      </c>
      <c r="J19" t="s">
        <v>157</v>
      </c>
    </row>
    <row r="20" spans="1:10" x14ac:dyDescent="0.2">
      <c r="A20" t="str">
        <f>'Master Grades'!A20</f>
        <v>Mccallum, Liam</v>
      </c>
      <c r="B20">
        <f>'Master Grades'!C20</f>
        <v>992893</v>
      </c>
      <c r="C20">
        <f t="shared" si="0"/>
        <v>4.5</v>
      </c>
      <c r="E20">
        <v>1</v>
      </c>
      <c r="F20">
        <v>1.5</v>
      </c>
      <c r="G20">
        <v>1.5</v>
      </c>
      <c r="H20">
        <v>0</v>
      </c>
      <c r="I20">
        <v>0.5</v>
      </c>
      <c r="J20" t="s">
        <v>156</v>
      </c>
    </row>
    <row r="21" spans="1:10" x14ac:dyDescent="0.2">
      <c r="A21" t="str">
        <f>'Master Grades'!A21</f>
        <v>Mifsud, Nathanael</v>
      </c>
      <c r="B21">
        <f>'Master Grades'!C21</f>
        <v>1181978</v>
      </c>
      <c r="C21">
        <f t="shared" si="0"/>
        <v>5</v>
      </c>
      <c r="E21">
        <v>1</v>
      </c>
      <c r="F21">
        <v>1.5</v>
      </c>
      <c r="G21">
        <v>1.5</v>
      </c>
      <c r="H21">
        <v>0.5</v>
      </c>
      <c r="I21">
        <v>0.5</v>
      </c>
      <c r="J21" t="s">
        <v>155</v>
      </c>
    </row>
    <row r="22" spans="1:10" x14ac:dyDescent="0.2">
      <c r="A22" t="str">
        <f>'Master Grades'!A22</f>
        <v>Ouyang, Yorking</v>
      </c>
      <c r="B22">
        <f>'Master Grades'!C22</f>
        <v>1051214</v>
      </c>
      <c r="C22">
        <f t="shared" si="0"/>
        <v>5</v>
      </c>
      <c r="E22">
        <v>1</v>
      </c>
      <c r="F22">
        <v>1.5</v>
      </c>
      <c r="G22">
        <v>1.5</v>
      </c>
      <c r="H22">
        <v>0.5</v>
      </c>
      <c r="I22">
        <v>0.5</v>
      </c>
    </row>
    <row r="23" spans="1:10" hidden="1" x14ac:dyDescent="0.2">
      <c r="A23" t="str">
        <f>'Master Grades'!A23</f>
        <v>Rammohan, Radhik</v>
      </c>
      <c r="B23" t="str">
        <f>'Master Grades'!C23</f>
        <v>ex.rrammohan</v>
      </c>
      <c r="C23">
        <f t="shared" si="0"/>
        <v>0</v>
      </c>
    </row>
    <row r="24" spans="1:10" x14ac:dyDescent="0.2">
      <c r="A24" t="str">
        <f>'Master Grades'!A24</f>
        <v>Sheng, Kwan</v>
      </c>
      <c r="B24" t="str">
        <f>'Master Grades'!C24</f>
        <v>ex.shengk</v>
      </c>
      <c r="C24">
        <f t="shared" si="0"/>
        <v>0</v>
      </c>
    </row>
    <row r="25" spans="1:10" x14ac:dyDescent="0.2">
      <c r="A25" t="str">
        <f>'Master Grades'!A25</f>
        <v>Smith, Zac</v>
      </c>
      <c r="B25">
        <f>'Master Grades'!C25</f>
        <v>1549443</v>
      </c>
      <c r="C25">
        <f t="shared" si="0"/>
        <v>3.5</v>
      </c>
      <c r="E25">
        <v>1</v>
      </c>
      <c r="F25">
        <v>1.5</v>
      </c>
      <c r="G25">
        <v>0.5</v>
      </c>
      <c r="H25">
        <v>0.25</v>
      </c>
      <c r="I25">
        <v>0.25</v>
      </c>
      <c r="J25" t="s">
        <v>154</v>
      </c>
    </row>
    <row r="26" spans="1:10" x14ac:dyDescent="0.2">
      <c r="A26" t="str">
        <f>'Master Grades'!A26</f>
        <v>SUN, Guangyue</v>
      </c>
      <c r="B26">
        <f>'Master Grades'!C26</f>
        <v>1510033</v>
      </c>
      <c r="C26">
        <f t="shared" si="0"/>
        <v>3.5</v>
      </c>
      <c r="E26">
        <v>0.75</v>
      </c>
      <c r="F26">
        <v>1.5</v>
      </c>
      <c r="G26">
        <v>0.5</v>
      </c>
      <c r="H26">
        <v>0.25</v>
      </c>
      <c r="I26">
        <v>0.5</v>
      </c>
      <c r="J26" t="s">
        <v>153</v>
      </c>
    </row>
    <row r="27" spans="1:10" x14ac:dyDescent="0.2">
      <c r="A27" t="str">
        <f>'Master Grades'!A27</f>
        <v>Sutherland, William</v>
      </c>
      <c r="B27">
        <f>'Master Grades'!C27</f>
        <v>1168383</v>
      </c>
      <c r="C27">
        <f t="shared" si="0"/>
        <v>1.5</v>
      </c>
      <c r="D27">
        <v>-2</v>
      </c>
      <c r="E27">
        <v>1</v>
      </c>
      <c r="F27">
        <v>0</v>
      </c>
      <c r="G27">
        <v>1.5</v>
      </c>
      <c r="H27">
        <v>0.5</v>
      </c>
      <c r="I27">
        <v>0.5</v>
      </c>
      <c r="J27" t="s">
        <v>152</v>
      </c>
    </row>
    <row r="28" spans="1:10" x14ac:dyDescent="0.2">
      <c r="A28" t="str">
        <f>'Master Grades'!A28</f>
        <v>Syed Muhammad Naquib Al Aidrus, Nadia</v>
      </c>
      <c r="B28">
        <f>'Master Grades'!C28</f>
        <v>1436936</v>
      </c>
      <c r="C28">
        <f t="shared" si="0"/>
        <v>2.75</v>
      </c>
      <c r="E28">
        <v>1</v>
      </c>
      <c r="F28">
        <v>0.75</v>
      </c>
      <c r="G28">
        <v>0.75</v>
      </c>
      <c r="H28">
        <v>0.25</v>
      </c>
      <c r="I28">
        <v>0</v>
      </c>
      <c r="J28" t="s">
        <v>151</v>
      </c>
    </row>
    <row r="29" spans="1:10" x14ac:dyDescent="0.2">
      <c r="A29" t="str">
        <f>'Master Grades'!A29</f>
        <v>Tian, Lutong</v>
      </c>
      <c r="B29">
        <f>'Master Grades'!C29</f>
        <v>1322753</v>
      </c>
      <c r="C29">
        <f t="shared" si="0"/>
        <v>4</v>
      </c>
      <c r="E29">
        <v>1</v>
      </c>
      <c r="F29">
        <v>1</v>
      </c>
      <c r="G29">
        <v>1.5</v>
      </c>
      <c r="H29">
        <v>0</v>
      </c>
      <c r="I29">
        <v>0.5</v>
      </c>
      <c r="J29" t="s">
        <v>150</v>
      </c>
    </row>
    <row r="30" spans="1:10" x14ac:dyDescent="0.2">
      <c r="A30" t="str">
        <f>'Master Grades'!A30</f>
        <v>Todd, Matthew</v>
      </c>
      <c r="B30">
        <f>'Master Grades'!C30</f>
        <v>1474916</v>
      </c>
      <c r="C30">
        <f t="shared" si="0"/>
        <v>4</v>
      </c>
      <c r="E30">
        <v>1</v>
      </c>
      <c r="F30">
        <v>0.5</v>
      </c>
      <c r="G30">
        <v>1.5</v>
      </c>
      <c r="H30">
        <v>0.5</v>
      </c>
      <c r="I30">
        <v>0.5</v>
      </c>
      <c r="J30" t="s">
        <v>149</v>
      </c>
    </row>
    <row r="31" spans="1:10" x14ac:dyDescent="0.2">
      <c r="A31" t="str">
        <f>'Master Grades'!A31</f>
        <v>Wei, Yizhou</v>
      </c>
      <c r="B31">
        <f>'Master Grades'!C31</f>
        <v>1036484</v>
      </c>
      <c r="C31">
        <f t="shared" si="0"/>
        <v>5</v>
      </c>
      <c r="E31">
        <v>1</v>
      </c>
      <c r="F31">
        <v>1.5</v>
      </c>
      <c r="G31">
        <v>1.5</v>
      </c>
      <c r="H31">
        <v>0.5</v>
      </c>
      <c r="I31">
        <v>0.5</v>
      </c>
    </row>
    <row r="32" spans="1:10" x14ac:dyDescent="0.2">
      <c r="A32" t="str">
        <f>'Master Grades'!A32</f>
        <v>Wu, Yilei</v>
      </c>
      <c r="B32">
        <f>'Master Grades'!C32</f>
        <v>1349379</v>
      </c>
      <c r="C32">
        <f t="shared" si="0"/>
        <v>5</v>
      </c>
      <c r="E32">
        <v>1</v>
      </c>
      <c r="F32">
        <v>1.5</v>
      </c>
      <c r="G32">
        <v>1.5</v>
      </c>
      <c r="H32">
        <v>0.5</v>
      </c>
      <c r="I32">
        <v>0.5</v>
      </c>
    </row>
    <row r="33" spans="1:10" x14ac:dyDescent="0.2">
      <c r="A33" t="str">
        <f>'Master Grades'!A33</f>
        <v>Xiao, Shutian</v>
      </c>
      <c r="B33">
        <f>'Master Grades'!C33</f>
        <v>1464811</v>
      </c>
      <c r="C33">
        <f t="shared" si="0"/>
        <v>5</v>
      </c>
      <c r="E33">
        <v>1</v>
      </c>
      <c r="F33">
        <v>1.5</v>
      </c>
      <c r="G33">
        <v>1.5</v>
      </c>
      <c r="H33">
        <v>0.5</v>
      </c>
      <c r="I33">
        <v>0.5</v>
      </c>
    </row>
    <row r="34" spans="1:10" x14ac:dyDescent="0.2">
      <c r="A34" t="str">
        <f>'Master Grades'!A34</f>
        <v>YAN, Kun</v>
      </c>
      <c r="B34">
        <f>'Master Grades'!C34</f>
        <v>1177465</v>
      </c>
      <c r="C34">
        <f t="shared" si="0"/>
        <v>5</v>
      </c>
      <c r="E34">
        <v>1</v>
      </c>
      <c r="F34">
        <v>1.5</v>
      </c>
      <c r="G34">
        <v>1.5</v>
      </c>
      <c r="H34">
        <v>0.5</v>
      </c>
      <c r="I34">
        <v>0.5</v>
      </c>
    </row>
    <row r="35" spans="1:10" x14ac:dyDescent="0.2">
      <c r="A35" t="str">
        <f>'Master Grades'!A35</f>
        <v>Young, Carson</v>
      </c>
      <c r="B35">
        <f>'Master Grades'!C35</f>
        <v>1086178</v>
      </c>
      <c r="C35">
        <f t="shared" si="0"/>
        <v>5</v>
      </c>
      <c r="E35">
        <v>1</v>
      </c>
      <c r="F35">
        <v>1.5</v>
      </c>
      <c r="G35">
        <v>1.5</v>
      </c>
      <c r="H35">
        <v>0.5</v>
      </c>
      <c r="I35">
        <v>0.5</v>
      </c>
    </row>
    <row r="36" spans="1:10" x14ac:dyDescent="0.2">
      <c r="A36" t="str">
        <f>'Master Grades'!A36</f>
        <v>Yuan, Zuoting</v>
      </c>
      <c r="B36">
        <f>'Master Grades'!C36</f>
        <v>1533296</v>
      </c>
      <c r="C36">
        <f t="shared" si="0"/>
        <v>1.5</v>
      </c>
      <c r="E36">
        <v>0.5</v>
      </c>
      <c r="F36">
        <v>0.5</v>
      </c>
      <c r="G36">
        <v>0.5</v>
      </c>
      <c r="H36">
        <v>0</v>
      </c>
      <c r="I36">
        <v>0</v>
      </c>
      <c r="J36" t="s">
        <v>148</v>
      </c>
    </row>
    <row r="37" spans="1:10" x14ac:dyDescent="0.2">
      <c r="A37" t="str">
        <f>'Master Grades'!A37</f>
        <v>Zhang, Andrew</v>
      </c>
      <c r="B37">
        <f>'Master Grades'!C37</f>
        <v>979356</v>
      </c>
      <c r="C37">
        <f t="shared" si="0"/>
        <v>5</v>
      </c>
      <c r="E37">
        <v>1</v>
      </c>
      <c r="F37">
        <v>1.5</v>
      </c>
      <c r="G37">
        <v>1.5</v>
      </c>
      <c r="H37">
        <v>0.5</v>
      </c>
      <c r="I37">
        <v>0.5</v>
      </c>
    </row>
    <row r="38" spans="1:10" x14ac:dyDescent="0.2">
      <c r="A38" t="str">
        <f>'Master Grades'!A38</f>
        <v>ZHANG, Ziang</v>
      </c>
      <c r="B38">
        <f>'Master Grades'!C38</f>
        <v>1494354</v>
      </c>
      <c r="C38">
        <f t="shared" si="0"/>
        <v>5</v>
      </c>
      <c r="E38">
        <v>1</v>
      </c>
      <c r="F38">
        <v>1.5</v>
      </c>
      <c r="G38">
        <v>1.5</v>
      </c>
      <c r="H38">
        <v>0.5</v>
      </c>
      <c r="I38">
        <v>0.5</v>
      </c>
    </row>
    <row r="39" spans="1:10" x14ac:dyDescent="0.2">
      <c r="A39" t="str">
        <f>'Master Grades'!A39</f>
        <v>Zhao, Hongyu</v>
      </c>
      <c r="B39">
        <f>'Master Grades'!C39</f>
        <v>1437784</v>
      </c>
      <c r="C39">
        <f t="shared" si="0"/>
        <v>5</v>
      </c>
      <c r="E39">
        <v>1</v>
      </c>
      <c r="F39">
        <v>1.5</v>
      </c>
      <c r="G39">
        <v>1.5</v>
      </c>
      <c r="H39">
        <v>0.5</v>
      </c>
      <c r="I39">
        <v>0.5</v>
      </c>
    </row>
    <row r="40" spans="1:10" x14ac:dyDescent="0.2">
      <c r="A40" t="str">
        <f>'Master Grades'!A40</f>
        <v>ZHAO, Yang</v>
      </c>
      <c r="B40">
        <f>'Master Grades'!C40</f>
        <v>1580719</v>
      </c>
      <c r="C40">
        <f t="shared" si="0"/>
        <v>5</v>
      </c>
      <c r="E40">
        <v>1</v>
      </c>
      <c r="F40">
        <v>1.5</v>
      </c>
      <c r="G40">
        <v>1.5</v>
      </c>
      <c r="H40">
        <v>0.5</v>
      </c>
      <c r="I40">
        <v>0.5</v>
      </c>
    </row>
    <row r="41" spans="1:10" x14ac:dyDescent="0.2">
      <c r="A41" t="str">
        <f>'Master Grades'!A41</f>
        <v>Zhou, Howie</v>
      </c>
      <c r="B41">
        <f>'Master Grades'!C41</f>
        <v>1270455</v>
      </c>
      <c r="C41">
        <f t="shared" si="0"/>
        <v>4.75</v>
      </c>
      <c r="E41">
        <v>1</v>
      </c>
      <c r="F41">
        <v>1.25</v>
      </c>
      <c r="G41">
        <v>1.5</v>
      </c>
      <c r="H41">
        <v>0.5</v>
      </c>
      <c r="I41">
        <v>0.5</v>
      </c>
      <c r="J41" t="s">
        <v>147</v>
      </c>
    </row>
    <row r="42" spans="1:10" x14ac:dyDescent="0.2">
      <c r="A42" t="str">
        <f>'Master Grades'!A42</f>
        <v>ZHU, Qing</v>
      </c>
      <c r="B42">
        <f>'Master Grades'!C42</f>
        <v>1442961</v>
      </c>
      <c r="C42">
        <f t="shared" si="0"/>
        <v>5</v>
      </c>
      <c r="E42">
        <v>1</v>
      </c>
      <c r="F42">
        <v>1.5</v>
      </c>
      <c r="G42">
        <v>1.5</v>
      </c>
      <c r="H42">
        <v>0.5</v>
      </c>
      <c r="I42">
        <v>0.5</v>
      </c>
      <c r="J42"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914F-0CD1-5B44-92AF-E37E956171D2}">
  <dimension ref="A1:H42"/>
  <sheetViews>
    <sheetView topLeftCell="A6" workbookViewId="0">
      <selection activeCell="A24" sqref="A24"/>
    </sheetView>
  </sheetViews>
  <sheetFormatPr baseColWidth="10" defaultRowHeight="16" x14ac:dyDescent="0.2"/>
  <sheetData>
    <row r="1" spans="1:8" x14ac:dyDescent="0.2">
      <c r="A1" s="1" t="s">
        <v>0</v>
      </c>
      <c r="B1" s="1" t="s">
        <v>2</v>
      </c>
      <c r="C1" t="s">
        <v>109</v>
      </c>
      <c r="D1" t="s">
        <v>110</v>
      </c>
      <c r="E1" t="s">
        <v>167</v>
      </c>
      <c r="F1" t="s">
        <v>168</v>
      </c>
      <c r="G1" t="s">
        <v>169</v>
      </c>
      <c r="H1" t="s">
        <v>111</v>
      </c>
    </row>
    <row r="2" spans="1:8" x14ac:dyDescent="0.2">
      <c r="A2" s="1" t="s">
        <v>15</v>
      </c>
      <c r="B2" s="1">
        <v>0</v>
      </c>
      <c r="C2">
        <f>SUM(D2:G2)</f>
        <v>5</v>
      </c>
      <c r="D2">
        <v>0</v>
      </c>
      <c r="E2">
        <v>1.5</v>
      </c>
      <c r="F2">
        <v>1</v>
      </c>
      <c r="G2">
        <v>2.5</v>
      </c>
    </row>
    <row r="3" spans="1:8" x14ac:dyDescent="0.2">
      <c r="A3" s="1" t="s">
        <v>17</v>
      </c>
      <c r="B3" s="1">
        <v>1370675</v>
      </c>
      <c r="C3">
        <f t="shared" ref="C3:C42" si="0">SUM(D3:G3)</f>
        <v>4.25</v>
      </c>
      <c r="D3">
        <v>0</v>
      </c>
      <c r="E3">
        <v>1</v>
      </c>
      <c r="F3">
        <v>0.75</v>
      </c>
      <c r="G3">
        <v>2.5</v>
      </c>
      <c r="H3" t="s">
        <v>170</v>
      </c>
    </row>
    <row r="4" spans="1:8" x14ac:dyDescent="0.2">
      <c r="A4" s="1" t="s">
        <v>21</v>
      </c>
      <c r="B4" s="1">
        <v>995802</v>
      </c>
      <c r="C4">
        <f t="shared" si="0"/>
        <v>4.75</v>
      </c>
      <c r="D4">
        <v>0</v>
      </c>
      <c r="E4">
        <v>1.25</v>
      </c>
      <c r="F4">
        <v>1</v>
      </c>
      <c r="G4">
        <v>2.5</v>
      </c>
      <c r="H4" t="s">
        <v>172</v>
      </c>
    </row>
    <row r="5" spans="1:8" x14ac:dyDescent="0.2">
      <c r="A5" s="1" t="s">
        <v>23</v>
      </c>
      <c r="B5" s="1">
        <v>1417057</v>
      </c>
      <c r="C5">
        <f t="shared" si="0"/>
        <v>4.75</v>
      </c>
      <c r="D5">
        <v>0</v>
      </c>
      <c r="E5">
        <v>1.5</v>
      </c>
      <c r="F5">
        <v>0.75</v>
      </c>
      <c r="G5">
        <v>2.5</v>
      </c>
      <c r="H5" t="s">
        <v>171</v>
      </c>
    </row>
    <row r="6" spans="1:8" x14ac:dyDescent="0.2">
      <c r="A6" s="1" t="s">
        <v>25</v>
      </c>
      <c r="B6" s="1">
        <v>1374388</v>
      </c>
      <c r="C6">
        <f t="shared" si="0"/>
        <v>4.75</v>
      </c>
      <c r="D6">
        <v>0</v>
      </c>
      <c r="E6">
        <v>1.5</v>
      </c>
      <c r="F6">
        <v>0.75</v>
      </c>
      <c r="G6">
        <v>2.5</v>
      </c>
      <c r="H6" t="s">
        <v>171</v>
      </c>
    </row>
    <row r="7" spans="1:8" x14ac:dyDescent="0.2">
      <c r="A7" s="1" t="s">
        <v>27</v>
      </c>
      <c r="B7" s="1">
        <v>1373562</v>
      </c>
      <c r="C7">
        <f t="shared" si="0"/>
        <v>4.75</v>
      </c>
      <c r="D7">
        <v>0</v>
      </c>
      <c r="E7">
        <v>1.5</v>
      </c>
      <c r="F7">
        <v>0.75</v>
      </c>
      <c r="G7">
        <v>2.5</v>
      </c>
      <c r="H7" t="s">
        <v>171</v>
      </c>
    </row>
    <row r="8" spans="1:8" x14ac:dyDescent="0.2">
      <c r="A8" s="1" t="s">
        <v>29</v>
      </c>
      <c r="B8" s="1">
        <v>1443406</v>
      </c>
      <c r="C8">
        <f t="shared" si="0"/>
        <v>5</v>
      </c>
      <c r="D8">
        <v>0</v>
      </c>
      <c r="E8">
        <v>1.5</v>
      </c>
      <c r="F8">
        <v>1</v>
      </c>
      <c r="G8">
        <v>2.5</v>
      </c>
    </row>
    <row r="9" spans="1:8" x14ac:dyDescent="0.2">
      <c r="A9" s="1" t="s">
        <v>31</v>
      </c>
      <c r="B9" s="1">
        <v>1555968</v>
      </c>
      <c r="C9">
        <f t="shared" si="0"/>
        <v>2.5</v>
      </c>
      <c r="D9">
        <v>0</v>
      </c>
      <c r="E9">
        <v>0</v>
      </c>
      <c r="F9">
        <v>0</v>
      </c>
      <c r="G9">
        <v>2.5</v>
      </c>
      <c r="H9" t="s">
        <v>173</v>
      </c>
    </row>
    <row r="10" spans="1:8" x14ac:dyDescent="0.2">
      <c r="A10" s="1" t="s">
        <v>33</v>
      </c>
      <c r="B10" s="1">
        <v>1436599</v>
      </c>
      <c r="C10">
        <f t="shared" si="0"/>
        <v>3</v>
      </c>
      <c r="D10">
        <v>0</v>
      </c>
      <c r="E10">
        <v>0</v>
      </c>
      <c r="F10">
        <v>0.5</v>
      </c>
      <c r="G10">
        <v>2.5</v>
      </c>
      <c r="H10" t="s">
        <v>174</v>
      </c>
    </row>
    <row r="11" spans="1:8" x14ac:dyDescent="0.2">
      <c r="A11" s="1" t="s">
        <v>35</v>
      </c>
      <c r="B11" s="1">
        <v>1072476</v>
      </c>
      <c r="C11">
        <f t="shared" si="0"/>
        <v>5</v>
      </c>
      <c r="D11">
        <v>0</v>
      </c>
      <c r="E11">
        <v>1.5</v>
      </c>
      <c r="F11">
        <v>1</v>
      </c>
      <c r="G11">
        <v>2.5</v>
      </c>
      <c r="H11" t="s">
        <v>175</v>
      </c>
    </row>
    <row r="12" spans="1:8" x14ac:dyDescent="0.2">
      <c r="A12" s="1" t="s">
        <v>37</v>
      </c>
      <c r="B12" s="1">
        <v>1316006</v>
      </c>
      <c r="C12">
        <f t="shared" si="0"/>
        <v>4.5</v>
      </c>
      <c r="D12">
        <v>0</v>
      </c>
      <c r="E12">
        <v>1.5</v>
      </c>
      <c r="F12">
        <v>0.5</v>
      </c>
      <c r="G12">
        <v>2.5</v>
      </c>
      <c r="H12" t="s">
        <v>176</v>
      </c>
    </row>
    <row r="13" spans="1:8" x14ac:dyDescent="0.2">
      <c r="A13" s="1" t="s">
        <v>39</v>
      </c>
      <c r="B13" s="1">
        <v>650596</v>
      </c>
      <c r="C13">
        <f t="shared" si="0"/>
        <v>4.25</v>
      </c>
      <c r="D13">
        <v>0</v>
      </c>
      <c r="E13">
        <v>1</v>
      </c>
      <c r="F13">
        <v>0.75</v>
      </c>
      <c r="G13">
        <v>2.5</v>
      </c>
      <c r="H13" t="s">
        <v>177</v>
      </c>
    </row>
    <row r="14" spans="1:8" x14ac:dyDescent="0.2">
      <c r="A14" s="1" t="s">
        <v>41</v>
      </c>
      <c r="B14" s="1">
        <v>1063490</v>
      </c>
      <c r="C14">
        <f t="shared" si="0"/>
        <v>2.5</v>
      </c>
      <c r="D14">
        <v>0</v>
      </c>
      <c r="E14">
        <v>0.75</v>
      </c>
      <c r="F14">
        <v>0.25</v>
      </c>
      <c r="G14">
        <v>1.5</v>
      </c>
      <c r="H14" t="s">
        <v>178</v>
      </c>
    </row>
    <row r="15" spans="1:8" x14ac:dyDescent="0.2">
      <c r="A15" s="1" t="s">
        <v>43</v>
      </c>
      <c r="B15" s="1">
        <v>1502683</v>
      </c>
      <c r="C15">
        <f t="shared" si="0"/>
        <v>4</v>
      </c>
      <c r="D15">
        <v>0</v>
      </c>
      <c r="E15">
        <v>0.75</v>
      </c>
      <c r="F15">
        <v>0.75</v>
      </c>
      <c r="G15">
        <v>2.5</v>
      </c>
      <c r="H15" t="s">
        <v>179</v>
      </c>
    </row>
    <row r="16" spans="1:8" x14ac:dyDescent="0.2">
      <c r="A16" s="1" t="s">
        <v>45</v>
      </c>
      <c r="B16" s="1">
        <v>884343</v>
      </c>
      <c r="C16">
        <f t="shared" si="0"/>
        <v>2.25</v>
      </c>
      <c r="D16">
        <v>0</v>
      </c>
      <c r="E16">
        <v>1.5</v>
      </c>
      <c r="F16">
        <v>0.25</v>
      </c>
      <c r="G16">
        <v>0.5</v>
      </c>
      <c r="H16" t="s">
        <v>180</v>
      </c>
    </row>
    <row r="17" spans="1:8" x14ac:dyDescent="0.2">
      <c r="A17" s="1" t="s">
        <v>47</v>
      </c>
      <c r="B17" s="1">
        <v>1510683</v>
      </c>
      <c r="C17">
        <f t="shared" si="0"/>
        <v>2.75</v>
      </c>
      <c r="D17">
        <v>0</v>
      </c>
      <c r="E17">
        <v>1</v>
      </c>
      <c r="F17">
        <v>0.75</v>
      </c>
      <c r="G17">
        <v>1</v>
      </c>
      <c r="H17" t="s">
        <v>181</v>
      </c>
    </row>
    <row r="18" spans="1:8" x14ac:dyDescent="0.2">
      <c r="A18" s="1" t="s">
        <v>49</v>
      </c>
      <c r="B18" s="1">
        <v>1074491</v>
      </c>
      <c r="C18">
        <f t="shared" si="0"/>
        <v>4.75</v>
      </c>
      <c r="D18">
        <v>0</v>
      </c>
      <c r="E18">
        <v>1.5</v>
      </c>
      <c r="F18">
        <v>0.75</v>
      </c>
      <c r="G18">
        <v>2.5</v>
      </c>
      <c r="H18" t="s">
        <v>182</v>
      </c>
    </row>
    <row r="19" spans="1:8" x14ac:dyDescent="0.2">
      <c r="A19" s="1" t="s">
        <v>51</v>
      </c>
      <c r="B19" s="1">
        <v>1495622</v>
      </c>
      <c r="C19">
        <f t="shared" si="0"/>
        <v>2.25</v>
      </c>
      <c r="D19">
        <v>0</v>
      </c>
      <c r="E19">
        <v>1.25</v>
      </c>
      <c r="F19">
        <v>0</v>
      </c>
      <c r="G19">
        <v>1</v>
      </c>
      <c r="H19" t="s">
        <v>183</v>
      </c>
    </row>
    <row r="20" spans="1:8" x14ac:dyDescent="0.2">
      <c r="A20" s="1" t="s">
        <v>53</v>
      </c>
      <c r="B20" s="1">
        <v>992893</v>
      </c>
      <c r="C20">
        <f t="shared" si="0"/>
        <v>4.75</v>
      </c>
      <c r="D20">
        <v>0</v>
      </c>
      <c r="E20">
        <v>1.5</v>
      </c>
      <c r="F20">
        <v>0.75</v>
      </c>
      <c r="G20">
        <v>2.5</v>
      </c>
      <c r="H20" t="s">
        <v>184</v>
      </c>
    </row>
    <row r="21" spans="1:8" x14ac:dyDescent="0.2">
      <c r="A21" s="1" t="s">
        <v>55</v>
      </c>
      <c r="B21" s="1">
        <v>1181978</v>
      </c>
      <c r="C21">
        <f t="shared" si="0"/>
        <v>4.25</v>
      </c>
      <c r="D21">
        <v>0</v>
      </c>
      <c r="E21">
        <v>1.5</v>
      </c>
      <c r="F21">
        <v>0.75</v>
      </c>
      <c r="G21">
        <v>2</v>
      </c>
      <c r="H21" t="s">
        <v>185</v>
      </c>
    </row>
    <row r="22" spans="1:8" x14ac:dyDescent="0.2">
      <c r="A22" s="1" t="s">
        <v>57</v>
      </c>
      <c r="B22" s="1">
        <v>1051214</v>
      </c>
      <c r="C22">
        <f t="shared" si="0"/>
        <v>4.75</v>
      </c>
      <c r="D22">
        <v>0</v>
      </c>
      <c r="E22">
        <v>1.5</v>
      </c>
      <c r="F22">
        <v>0.75</v>
      </c>
      <c r="G22">
        <v>2.5</v>
      </c>
      <c r="H22" t="s">
        <v>186</v>
      </c>
    </row>
    <row r="23" spans="1:8" hidden="1" x14ac:dyDescent="0.2">
      <c r="A23" s="1" t="s">
        <v>59</v>
      </c>
      <c r="B23" s="1" t="s">
        <v>60</v>
      </c>
      <c r="C23">
        <f t="shared" si="0"/>
        <v>0</v>
      </c>
      <c r="D23">
        <v>0</v>
      </c>
    </row>
    <row r="24" spans="1:8" x14ac:dyDescent="0.2">
      <c r="A24" s="1" t="s">
        <v>62</v>
      </c>
      <c r="B24" s="1" t="s">
        <v>63</v>
      </c>
      <c r="C24">
        <f t="shared" si="0"/>
        <v>0</v>
      </c>
      <c r="D24">
        <v>0</v>
      </c>
    </row>
    <row r="25" spans="1:8" x14ac:dyDescent="0.2">
      <c r="A25" s="1" t="s">
        <v>64</v>
      </c>
      <c r="B25" s="1">
        <v>1549443</v>
      </c>
      <c r="C25">
        <f t="shared" si="0"/>
        <v>3.5</v>
      </c>
      <c r="D25">
        <v>0</v>
      </c>
      <c r="E25">
        <v>1.5</v>
      </c>
      <c r="F25">
        <v>0.5</v>
      </c>
      <c r="G25">
        <v>1.5</v>
      </c>
      <c r="H25" t="s">
        <v>187</v>
      </c>
    </row>
    <row r="26" spans="1:8" x14ac:dyDescent="0.2">
      <c r="A26" s="1" t="s">
        <v>66</v>
      </c>
      <c r="B26" s="1">
        <v>1510033</v>
      </c>
      <c r="C26">
        <f t="shared" si="0"/>
        <v>1.75</v>
      </c>
      <c r="D26">
        <v>0</v>
      </c>
      <c r="E26">
        <v>1.5</v>
      </c>
      <c r="F26">
        <v>0.25</v>
      </c>
      <c r="G26">
        <v>0</v>
      </c>
      <c r="H26" t="s">
        <v>188</v>
      </c>
    </row>
    <row r="27" spans="1:8" x14ac:dyDescent="0.2">
      <c r="A27" s="1" t="s">
        <v>68</v>
      </c>
      <c r="B27" s="1">
        <v>1168383</v>
      </c>
      <c r="C27">
        <f t="shared" si="0"/>
        <v>3.25</v>
      </c>
      <c r="D27">
        <v>-1</v>
      </c>
      <c r="E27">
        <v>1.5</v>
      </c>
      <c r="F27">
        <v>0.75</v>
      </c>
      <c r="G27">
        <v>2</v>
      </c>
      <c r="H27" t="s">
        <v>189</v>
      </c>
    </row>
    <row r="28" spans="1:8" x14ac:dyDescent="0.2">
      <c r="A28" s="1" t="s">
        <v>70</v>
      </c>
      <c r="B28" s="1">
        <v>1436936</v>
      </c>
      <c r="C28">
        <f t="shared" si="0"/>
        <v>3.25</v>
      </c>
      <c r="D28">
        <v>0</v>
      </c>
      <c r="E28">
        <v>1.5</v>
      </c>
      <c r="F28">
        <v>0.25</v>
      </c>
      <c r="G28">
        <v>1.5</v>
      </c>
      <c r="H28" t="s">
        <v>190</v>
      </c>
    </row>
    <row r="29" spans="1:8" x14ac:dyDescent="0.2">
      <c r="A29" s="1" t="s">
        <v>72</v>
      </c>
      <c r="B29" s="1">
        <v>1322753</v>
      </c>
      <c r="C29">
        <f t="shared" si="0"/>
        <v>4</v>
      </c>
      <c r="D29">
        <v>0</v>
      </c>
      <c r="E29">
        <v>0.75</v>
      </c>
      <c r="F29">
        <v>0.75</v>
      </c>
      <c r="G29">
        <v>2.5</v>
      </c>
      <c r="H29" t="s">
        <v>191</v>
      </c>
    </row>
    <row r="30" spans="1:8" x14ac:dyDescent="0.2">
      <c r="A30" s="1" t="s">
        <v>74</v>
      </c>
      <c r="B30" s="1">
        <v>1474916</v>
      </c>
      <c r="C30">
        <f t="shared" si="0"/>
        <v>4.25</v>
      </c>
      <c r="D30">
        <v>0</v>
      </c>
      <c r="E30">
        <v>1.5</v>
      </c>
      <c r="F30">
        <v>0.25</v>
      </c>
      <c r="G30">
        <v>2.5</v>
      </c>
      <c r="H30" t="s">
        <v>192</v>
      </c>
    </row>
    <row r="31" spans="1:8" x14ac:dyDescent="0.2">
      <c r="A31" s="1" t="s">
        <v>76</v>
      </c>
      <c r="B31" s="1">
        <v>1036484</v>
      </c>
      <c r="C31">
        <f t="shared" si="0"/>
        <v>4.75</v>
      </c>
      <c r="D31">
        <v>0</v>
      </c>
      <c r="E31">
        <v>1.5</v>
      </c>
      <c r="F31">
        <v>0.75</v>
      </c>
      <c r="G31">
        <v>2.5</v>
      </c>
      <c r="H31" t="s">
        <v>193</v>
      </c>
    </row>
    <row r="32" spans="1:8" x14ac:dyDescent="0.2">
      <c r="A32" s="1" t="s">
        <v>78</v>
      </c>
      <c r="B32" s="1">
        <v>1349379</v>
      </c>
      <c r="C32">
        <f t="shared" si="0"/>
        <v>2.75</v>
      </c>
      <c r="D32">
        <v>0</v>
      </c>
      <c r="E32">
        <v>0</v>
      </c>
      <c r="F32">
        <v>0.25</v>
      </c>
      <c r="G32">
        <v>2.5</v>
      </c>
      <c r="H32" t="s">
        <v>194</v>
      </c>
    </row>
    <row r="33" spans="1:8" x14ac:dyDescent="0.2">
      <c r="A33" s="1" t="s">
        <v>80</v>
      </c>
      <c r="B33" s="1">
        <v>1464811</v>
      </c>
      <c r="C33">
        <f t="shared" si="0"/>
        <v>4.75</v>
      </c>
      <c r="D33">
        <v>0</v>
      </c>
      <c r="E33">
        <v>1.5</v>
      </c>
      <c r="F33">
        <v>0.75</v>
      </c>
      <c r="G33">
        <v>2.5</v>
      </c>
      <c r="H33" t="s">
        <v>195</v>
      </c>
    </row>
    <row r="34" spans="1:8" x14ac:dyDescent="0.2">
      <c r="A34" s="1" t="s">
        <v>82</v>
      </c>
      <c r="B34" s="1">
        <v>1177465</v>
      </c>
      <c r="C34">
        <f t="shared" si="0"/>
        <v>4.25</v>
      </c>
      <c r="D34">
        <v>0</v>
      </c>
      <c r="E34">
        <v>1.5</v>
      </c>
      <c r="F34">
        <v>0.25</v>
      </c>
      <c r="G34">
        <v>2.5</v>
      </c>
      <c r="H34" t="s">
        <v>196</v>
      </c>
    </row>
    <row r="35" spans="1:8" x14ac:dyDescent="0.2">
      <c r="A35" s="1" t="s">
        <v>84</v>
      </c>
      <c r="B35" s="1">
        <v>1086178</v>
      </c>
      <c r="C35">
        <f t="shared" si="0"/>
        <v>5</v>
      </c>
      <c r="D35">
        <v>0</v>
      </c>
      <c r="E35">
        <v>1.5</v>
      </c>
      <c r="F35">
        <v>1</v>
      </c>
      <c r="G35">
        <v>2.5</v>
      </c>
    </row>
    <row r="36" spans="1:8" x14ac:dyDescent="0.2">
      <c r="A36" s="1" t="s">
        <v>86</v>
      </c>
      <c r="B36" s="1">
        <v>1533296</v>
      </c>
      <c r="C36">
        <f t="shared" si="0"/>
        <v>1</v>
      </c>
      <c r="D36">
        <v>0</v>
      </c>
      <c r="E36">
        <v>0</v>
      </c>
      <c r="F36">
        <v>0</v>
      </c>
      <c r="G36">
        <v>1</v>
      </c>
      <c r="H36" t="s">
        <v>197</v>
      </c>
    </row>
    <row r="37" spans="1:8" x14ac:dyDescent="0.2">
      <c r="A37" s="1" t="s">
        <v>88</v>
      </c>
      <c r="B37" s="1">
        <v>979356</v>
      </c>
      <c r="C37">
        <f t="shared" si="0"/>
        <v>5</v>
      </c>
      <c r="D37">
        <v>0</v>
      </c>
      <c r="E37">
        <v>1.5</v>
      </c>
      <c r="F37">
        <v>1</v>
      </c>
      <c r="G37">
        <v>2.5</v>
      </c>
    </row>
    <row r="38" spans="1:8" x14ac:dyDescent="0.2">
      <c r="A38" s="1" t="s">
        <v>90</v>
      </c>
      <c r="B38" s="1">
        <v>1494354</v>
      </c>
      <c r="C38">
        <f t="shared" si="0"/>
        <v>4.75</v>
      </c>
      <c r="D38">
        <v>0</v>
      </c>
      <c r="E38">
        <v>1.5</v>
      </c>
      <c r="F38">
        <v>0.75</v>
      </c>
      <c r="G38">
        <v>2.5</v>
      </c>
      <c r="H38" t="s">
        <v>195</v>
      </c>
    </row>
    <row r="39" spans="1:8" x14ac:dyDescent="0.2">
      <c r="A39" s="1" t="s">
        <v>92</v>
      </c>
      <c r="B39" s="1">
        <v>1437784</v>
      </c>
      <c r="C39">
        <f t="shared" si="0"/>
        <v>4.75</v>
      </c>
      <c r="D39">
        <v>0</v>
      </c>
      <c r="E39">
        <v>1.5</v>
      </c>
      <c r="F39">
        <v>0.75</v>
      </c>
      <c r="G39">
        <v>2.5</v>
      </c>
      <c r="H39" t="s">
        <v>198</v>
      </c>
    </row>
    <row r="40" spans="1:8" x14ac:dyDescent="0.2">
      <c r="A40" s="1" t="s">
        <v>94</v>
      </c>
      <c r="B40" s="1">
        <v>1580719</v>
      </c>
      <c r="C40">
        <f t="shared" si="0"/>
        <v>4</v>
      </c>
      <c r="D40">
        <v>0</v>
      </c>
      <c r="E40">
        <v>1.5</v>
      </c>
      <c r="F40">
        <v>0.5</v>
      </c>
      <c r="G40">
        <v>2</v>
      </c>
      <c r="H40" t="s">
        <v>199</v>
      </c>
    </row>
    <row r="41" spans="1:8" x14ac:dyDescent="0.2">
      <c r="A41" s="1" t="s">
        <v>96</v>
      </c>
      <c r="B41" s="1">
        <v>1270455</v>
      </c>
      <c r="C41">
        <f t="shared" si="0"/>
        <v>5</v>
      </c>
      <c r="D41">
        <v>0</v>
      </c>
      <c r="E41">
        <v>1.5</v>
      </c>
      <c r="F41">
        <v>1</v>
      </c>
      <c r="G41">
        <v>2.5</v>
      </c>
    </row>
    <row r="42" spans="1:8" x14ac:dyDescent="0.2">
      <c r="A42" s="1" t="s">
        <v>98</v>
      </c>
      <c r="B42" s="1">
        <v>1442961</v>
      </c>
      <c r="C42">
        <f t="shared" si="0"/>
        <v>4.25</v>
      </c>
      <c r="D42">
        <v>0</v>
      </c>
      <c r="E42">
        <v>1</v>
      </c>
      <c r="F42">
        <v>0.75</v>
      </c>
      <c r="G42">
        <v>2.5</v>
      </c>
      <c r="H42"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75DA-907B-0341-BF31-1F0870B1F0A5}">
  <dimension ref="A1:H42"/>
  <sheetViews>
    <sheetView topLeftCell="A21" workbookViewId="0">
      <selection activeCell="H42" sqref="H42"/>
    </sheetView>
  </sheetViews>
  <sheetFormatPr baseColWidth="10" defaultRowHeight="16" x14ac:dyDescent="0.2"/>
  <sheetData>
    <row r="1" spans="1:8" x14ac:dyDescent="0.2">
      <c r="A1" s="1" t="s">
        <v>0</v>
      </c>
      <c r="B1" s="1" t="s">
        <v>2</v>
      </c>
      <c r="C1" t="s">
        <v>109</v>
      </c>
      <c r="D1" s="1" t="s">
        <v>110</v>
      </c>
      <c r="E1" s="1" t="s">
        <v>167</v>
      </c>
      <c r="F1" s="1" t="s">
        <v>168</v>
      </c>
      <c r="G1" s="1" t="s">
        <v>169</v>
      </c>
      <c r="H1" s="1" t="s">
        <v>111</v>
      </c>
    </row>
    <row r="2" spans="1:8" x14ac:dyDescent="0.2">
      <c r="A2" s="1" t="s">
        <v>15</v>
      </c>
      <c r="B2" s="1">
        <v>0</v>
      </c>
      <c r="C2">
        <f>SUM(D2:G2)</f>
        <v>5</v>
      </c>
      <c r="D2">
        <v>0</v>
      </c>
      <c r="E2">
        <v>2</v>
      </c>
      <c r="F2">
        <v>1.5</v>
      </c>
      <c r="G2">
        <v>1.5</v>
      </c>
    </row>
    <row r="3" spans="1:8" x14ac:dyDescent="0.2">
      <c r="A3" s="1" t="s">
        <v>17</v>
      </c>
      <c r="B3" s="1">
        <v>1370675</v>
      </c>
      <c r="C3">
        <f t="shared" ref="C3:C42" si="0">SUM(D3:G3)</f>
        <v>4</v>
      </c>
      <c r="E3">
        <v>2</v>
      </c>
      <c r="F3">
        <v>0.5</v>
      </c>
      <c r="G3">
        <v>1.5</v>
      </c>
      <c r="H3" t="s">
        <v>201</v>
      </c>
    </row>
    <row r="4" spans="1:8" x14ac:dyDescent="0.2">
      <c r="A4" s="1" t="s">
        <v>21</v>
      </c>
      <c r="B4" s="1">
        <v>995802</v>
      </c>
      <c r="C4">
        <f t="shared" si="0"/>
        <v>4</v>
      </c>
      <c r="D4">
        <v>-1</v>
      </c>
      <c r="E4">
        <v>2</v>
      </c>
      <c r="F4" s="1">
        <v>1.5</v>
      </c>
      <c r="G4">
        <v>1.5</v>
      </c>
      <c r="H4" t="s">
        <v>220</v>
      </c>
    </row>
    <row r="5" spans="1:8" x14ac:dyDescent="0.2">
      <c r="A5" s="1" t="s">
        <v>23</v>
      </c>
      <c r="B5" s="1">
        <v>1417057</v>
      </c>
      <c r="C5">
        <f t="shared" si="0"/>
        <v>5</v>
      </c>
      <c r="E5">
        <v>2</v>
      </c>
      <c r="F5">
        <v>1.5</v>
      </c>
      <c r="G5">
        <v>1.5</v>
      </c>
      <c r="H5" t="s">
        <v>210</v>
      </c>
    </row>
    <row r="6" spans="1:8" x14ac:dyDescent="0.2">
      <c r="A6" s="1" t="s">
        <v>25</v>
      </c>
      <c r="B6" s="1">
        <v>1374388</v>
      </c>
      <c r="C6">
        <f t="shared" si="0"/>
        <v>3.5</v>
      </c>
      <c r="E6">
        <v>2</v>
      </c>
      <c r="F6">
        <v>1</v>
      </c>
      <c r="G6">
        <v>0.5</v>
      </c>
      <c r="H6" t="s">
        <v>211</v>
      </c>
    </row>
    <row r="7" spans="1:8" x14ac:dyDescent="0.2">
      <c r="A7" s="1" t="s">
        <v>27</v>
      </c>
      <c r="B7" s="1">
        <v>1373562</v>
      </c>
      <c r="C7">
        <f t="shared" si="0"/>
        <v>5</v>
      </c>
      <c r="E7">
        <v>2</v>
      </c>
      <c r="F7">
        <v>1.5</v>
      </c>
      <c r="G7">
        <v>1.5</v>
      </c>
    </row>
    <row r="8" spans="1:8" x14ac:dyDescent="0.2">
      <c r="A8" s="1" t="s">
        <v>29</v>
      </c>
      <c r="B8" s="1">
        <v>1443406</v>
      </c>
      <c r="C8">
        <f t="shared" si="0"/>
        <v>5</v>
      </c>
      <c r="E8">
        <v>2</v>
      </c>
      <c r="F8">
        <v>1.5</v>
      </c>
      <c r="G8">
        <v>1.5</v>
      </c>
    </row>
    <row r="9" spans="1:8" x14ac:dyDescent="0.2">
      <c r="A9" s="1" t="s">
        <v>31</v>
      </c>
      <c r="B9" s="1">
        <v>1555968</v>
      </c>
      <c r="C9">
        <f t="shared" si="0"/>
        <v>4</v>
      </c>
      <c r="E9">
        <v>2</v>
      </c>
      <c r="F9">
        <v>0.5</v>
      </c>
      <c r="G9">
        <v>1.5</v>
      </c>
      <c r="H9" t="s">
        <v>203</v>
      </c>
    </row>
    <row r="10" spans="1:8" x14ac:dyDescent="0.2">
      <c r="A10" s="1" t="s">
        <v>33</v>
      </c>
      <c r="B10" s="1">
        <v>1436599</v>
      </c>
      <c r="C10">
        <f t="shared" si="0"/>
        <v>4</v>
      </c>
      <c r="E10">
        <v>2</v>
      </c>
      <c r="F10">
        <v>0.5</v>
      </c>
      <c r="G10">
        <v>1.5</v>
      </c>
      <c r="H10" t="s">
        <v>203</v>
      </c>
    </row>
    <row r="11" spans="1:8" x14ac:dyDescent="0.2">
      <c r="A11" s="1" t="s">
        <v>35</v>
      </c>
      <c r="B11" s="1">
        <v>1072476</v>
      </c>
      <c r="C11">
        <f t="shared" si="0"/>
        <v>5</v>
      </c>
      <c r="E11">
        <v>2</v>
      </c>
      <c r="F11">
        <v>1.5</v>
      </c>
      <c r="G11">
        <v>1.5</v>
      </c>
      <c r="H11" t="s">
        <v>221</v>
      </c>
    </row>
    <row r="12" spans="1:8" x14ac:dyDescent="0.2">
      <c r="A12" s="1" t="s">
        <v>37</v>
      </c>
      <c r="B12" s="1">
        <v>1316006</v>
      </c>
      <c r="C12">
        <f t="shared" si="0"/>
        <v>4.5</v>
      </c>
      <c r="E12">
        <v>2</v>
      </c>
      <c r="F12">
        <v>1</v>
      </c>
      <c r="G12">
        <v>1.5</v>
      </c>
      <c r="H12" t="s">
        <v>202</v>
      </c>
    </row>
    <row r="13" spans="1:8" x14ac:dyDescent="0.2">
      <c r="A13" s="1" t="s">
        <v>39</v>
      </c>
      <c r="B13" s="1">
        <v>650596</v>
      </c>
      <c r="C13">
        <f t="shared" si="0"/>
        <v>4</v>
      </c>
      <c r="E13">
        <v>2</v>
      </c>
      <c r="F13">
        <v>0.5</v>
      </c>
      <c r="G13">
        <v>1.5</v>
      </c>
      <c r="H13" t="s">
        <v>203</v>
      </c>
    </row>
    <row r="14" spans="1:8" x14ac:dyDescent="0.2">
      <c r="A14" s="1" t="s">
        <v>41</v>
      </c>
      <c r="B14" s="1">
        <v>1063490</v>
      </c>
      <c r="C14">
        <f t="shared" si="0"/>
        <v>3.75</v>
      </c>
      <c r="E14">
        <v>2</v>
      </c>
      <c r="F14">
        <v>1</v>
      </c>
      <c r="G14">
        <v>0.75</v>
      </c>
      <c r="H14" t="s">
        <v>212</v>
      </c>
    </row>
    <row r="15" spans="1:8" x14ac:dyDescent="0.2">
      <c r="A15" s="1" t="s">
        <v>43</v>
      </c>
      <c r="B15" s="1">
        <v>1502683</v>
      </c>
      <c r="C15">
        <f t="shared" si="0"/>
        <v>3.5</v>
      </c>
      <c r="E15">
        <v>2</v>
      </c>
      <c r="F15">
        <v>0</v>
      </c>
      <c r="G15">
        <v>1.5</v>
      </c>
      <c r="H15" t="s">
        <v>204</v>
      </c>
    </row>
    <row r="16" spans="1:8" x14ac:dyDescent="0.2">
      <c r="A16" s="1" t="s">
        <v>45</v>
      </c>
      <c r="B16" s="1">
        <v>884343</v>
      </c>
      <c r="C16">
        <f t="shared" si="0"/>
        <v>4</v>
      </c>
      <c r="E16">
        <v>2</v>
      </c>
      <c r="F16">
        <v>0.5</v>
      </c>
      <c r="G16">
        <v>1.5</v>
      </c>
      <c r="H16" t="s">
        <v>203</v>
      </c>
    </row>
    <row r="17" spans="1:8" x14ac:dyDescent="0.2">
      <c r="A17" s="1" t="s">
        <v>47</v>
      </c>
      <c r="B17" s="1">
        <v>1510683</v>
      </c>
      <c r="C17">
        <f t="shared" si="0"/>
        <v>4</v>
      </c>
      <c r="E17">
        <v>2</v>
      </c>
      <c r="F17">
        <v>0.5</v>
      </c>
      <c r="G17">
        <v>1.5</v>
      </c>
      <c r="H17" t="s">
        <v>205</v>
      </c>
    </row>
    <row r="18" spans="1:8" x14ac:dyDescent="0.2">
      <c r="A18" s="1" t="s">
        <v>49</v>
      </c>
      <c r="B18" s="1">
        <v>1074491</v>
      </c>
      <c r="C18">
        <f t="shared" si="0"/>
        <v>4.25</v>
      </c>
      <c r="E18">
        <v>2</v>
      </c>
      <c r="F18">
        <v>1.5</v>
      </c>
      <c r="G18">
        <v>0.75</v>
      </c>
      <c r="H18" t="s">
        <v>213</v>
      </c>
    </row>
    <row r="19" spans="1:8" x14ac:dyDescent="0.2">
      <c r="A19" s="1" t="s">
        <v>51</v>
      </c>
      <c r="B19" s="1">
        <v>1495622</v>
      </c>
      <c r="C19">
        <f t="shared" si="0"/>
        <v>4.5</v>
      </c>
      <c r="E19">
        <v>2</v>
      </c>
      <c r="F19">
        <v>1</v>
      </c>
      <c r="G19">
        <v>1.5</v>
      </c>
      <c r="H19" t="s">
        <v>206</v>
      </c>
    </row>
    <row r="20" spans="1:8" x14ac:dyDescent="0.2">
      <c r="A20" s="1" t="s">
        <v>53</v>
      </c>
      <c r="B20" s="1">
        <v>992893</v>
      </c>
      <c r="C20">
        <f t="shared" si="0"/>
        <v>4</v>
      </c>
      <c r="E20">
        <v>2</v>
      </c>
      <c r="F20">
        <v>0.5</v>
      </c>
      <c r="G20">
        <v>1.5</v>
      </c>
      <c r="H20" t="s">
        <v>203</v>
      </c>
    </row>
    <row r="21" spans="1:8" x14ac:dyDescent="0.2">
      <c r="A21" s="1" t="s">
        <v>55</v>
      </c>
      <c r="B21" s="1">
        <v>1181978</v>
      </c>
      <c r="C21">
        <f t="shared" si="0"/>
        <v>4.5</v>
      </c>
      <c r="E21">
        <v>2</v>
      </c>
      <c r="F21">
        <v>1.5</v>
      </c>
      <c r="G21">
        <v>1</v>
      </c>
      <c r="H21" t="s">
        <v>214</v>
      </c>
    </row>
    <row r="22" spans="1:8" x14ac:dyDescent="0.2">
      <c r="A22" s="1" t="s">
        <v>57</v>
      </c>
      <c r="B22" s="1">
        <v>1051214</v>
      </c>
      <c r="C22">
        <f t="shared" si="0"/>
        <v>5</v>
      </c>
      <c r="E22">
        <v>2</v>
      </c>
      <c r="F22">
        <v>1.5</v>
      </c>
      <c r="G22">
        <v>1.5</v>
      </c>
    </row>
    <row r="23" spans="1:8" hidden="1" x14ac:dyDescent="0.2">
      <c r="A23" s="1" t="s">
        <v>59</v>
      </c>
      <c r="B23" s="1" t="s">
        <v>60</v>
      </c>
      <c r="C23">
        <f t="shared" si="0"/>
        <v>0</v>
      </c>
    </row>
    <row r="24" spans="1:8" hidden="1" x14ac:dyDescent="0.2">
      <c r="A24" s="1" t="s">
        <v>62</v>
      </c>
      <c r="B24" s="1" t="s">
        <v>63</v>
      </c>
      <c r="C24">
        <f t="shared" si="0"/>
        <v>0</v>
      </c>
    </row>
    <row r="25" spans="1:8" x14ac:dyDescent="0.2">
      <c r="A25" s="1" t="s">
        <v>64</v>
      </c>
      <c r="B25" s="1">
        <v>1549443</v>
      </c>
      <c r="C25">
        <f t="shared" si="0"/>
        <v>3</v>
      </c>
      <c r="E25">
        <v>2</v>
      </c>
      <c r="F25">
        <v>0.5</v>
      </c>
      <c r="G25">
        <v>0.5</v>
      </c>
      <c r="H25" t="s">
        <v>215</v>
      </c>
    </row>
    <row r="26" spans="1:8" x14ac:dyDescent="0.2">
      <c r="A26" s="1" t="s">
        <v>66</v>
      </c>
      <c r="B26" s="1">
        <v>1510033</v>
      </c>
      <c r="C26">
        <f t="shared" si="0"/>
        <v>0.75</v>
      </c>
      <c r="D26">
        <v>-1</v>
      </c>
      <c r="E26">
        <v>0</v>
      </c>
      <c r="F26" s="1">
        <v>0.5</v>
      </c>
      <c r="G26">
        <v>1.25</v>
      </c>
      <c r="H26" t="s">
        <v>216</v>
      </c>
    </row>
    <row r="27" spans="1:8" x14ac:dyDescent="0.2">
      <c r="A27" s="1" t="s">
        <v>68</v>
      </c>
      <c r="B27" s="1">
        <v>1168383</v>
      </c>
      <c r="C27">
        <f t="shared" si="0"/>
        <v>4.5</v>
      </c>
      <c r="E27">
        <v>2</v>
      </c>
      <c r="F27">
        <v>1.5</v>
      </c>
      <c r="G27">
        <v>1</v>
      </c>
      <c r="H27" t="s">
        <v>217</v>
      </c>
    </row>
    <row r="28" spans="1:8" x14ac:dyDescent="0.2">
      <c r="A28" s="1" t="s">
        <v>70</v>
      </c>
      <c r="B28" s="1">
        <v>1436936</v>
      </c>
      <c r="C28">
        <f t="shared" si="0"/>
        <v>4.25</v>
      </c>
      <c r="E28">
        <v>2</v>
      </c>
      <c r="F28">
        <v>1.5</v>
      </c>
      <c r="G28">
        <v>0.75</v>
      </c>
      <c r="H28" t="s">
        <v>218</v>
      </c>
    </row>
    <row r="29" spans="1:8" x14ac:dyDescent="0.2">
      <c r="A29" s="1" t="s">
        <v>72</v>
      </c>
      <c r="B29" s="1">
        <v>1322753</v>
      </c>
      <c r="C29">
        <f t="shared" si="0"/>
        <v>4</v>
      </c>
      <c r="E29">
        <v>2</v>
      </c>
      <c r="F29">
        <v>0.5</v>
      </c>
      <c r="G29">
        <v>1.5</v>
      </c>
      <c r="H29" t="s">
        <v>207</v>
      </c>
    </row>
    <row r="30" spans="1:8" x14ac:dyDescent="0.2">
      <c r="A30" s="1" t="s">
        <v>74</v>
      </c>
      <c r="B30" s="1">
        <v>1474916</v>
      </c>
      <c r="C30">
        <f t="shared" si="0"/>
        <v>4.75</v>
      </c>
      <c r="E30">
        <v>2</v>
      </c>
      <c r="F30">
        <v>1.25</v>
      </c>
      <c r="G30">
        <v>1.5</v>
      </c>
      <c r="H30" t="s">
        <v>208</v>
      </c>
    </row>
    <row r="31" spans="1:8" x14ac:dyDescent="0.2">
      <c r="A31" s="1" t="s">
        <v>76</v>
      </c>
      <c r="B31" s="1">
        <v>1036484</v>
      </c>
      <c r="C31">
        <f t="shared" si="0"/>
        <v>5</v>
      </c>
      <c r="E31">
        <v>2</v>
      </c>
      <c r="F31">
        <v>1.5</v>
      </c>
      <c r="G31">
        <v>1.5</v>
      </c>
    </row>
    <row r="32" spans="1:8" x14ac:dyDescent="0.2">
      <c r="A32" s="1" t="s">
        <v>78</v>
      </c>
      <c r="B32" s="1">
        <v>1349379</v>
      </c>
      <c r="C32">
        <f t="shared" si="0"/>
        <v>5</v>
      </c>
      <c r="E32">
        <v>2</v>
      </c>
      <c r="F32">
        <v>1.5</v>
      </c>
      <c r="G32">
        <v>1.5</v>
      </c>
    </row>
    <row r="33" spans="1:8" x14ac:dyDescent="0.2">
      <c r="A33" s="1" t="s">
        <v>80</v>
      </c>
      <c r="B33" s="1">
        <v>1464811</v>
      </c>
      <c r="C33">
        <f t="shared" si="0"/>
        <v>5</v>
      </c>
      <c r="E33">
        <v>2</v>
      </c>
      <c r="F33">
        <v>1.5</v>
      </c>
      <c r="G33">
        <v>1.5</v>
      </c>
    </row>
    <row r="34" spans="1:8" x14ac:dyDescent="0.2">
      <c r="A34" s="1" t="s">
        <v>82</v>
      </c>
      <c r="B34" s="1">
        <v>1177465</v>
      </c>
      <c r="C34">
        <f t="shared" si="0"/>
        <v>5</v>
      </c>
      <c r="E34">
        <v>2</v>
      </c>
      <c r="F34">
        <v>1.5</v>
      </c>
      <c r="G34">
        <v>1.5</v>
      </c>
    </row>
    <row r="35" spans="1:8" x14ac:dyDescent="0.2">
      <c r="A35" s="1" t="s">
        <v>84</v>
      </c>
      <c r="B35" s="1">
        <v>1086178</v>
      </c>
      <c r="C35">
        <f t="shared" si="0"/>
        <v>5</v>
      </c>
      <c r="E35">
        <v>2</v>
      </c>
      <c r="F35">
        <v>1.5</v>
      </c>
      <c r="G35">
        <v>1.5</v>
      </c>
    </row>
    <row r="36" spans="1:8" x14ac:dyDescent="0.2">
      <c r="A36" s="1" t="s">
        <v>86</v>
      </c>
      <c r="B36" s="1">
        <v>1533296</v>
      </c>
      <c r="C36">
        <f t="shared" si="0"/>
        <v>4</v>
      </c>
      <c r="E36">
        <v>2</v>
      </c>
      <c r="F36">
        <v>0.5</v>
      </c>
      <c r="G36">
        <v>1.5</v>
      </c>
      <c r="H36" t="s">
        <v>209</v>
      </c>
    </row>
    <row r="37" spans="1:8" x14ac:dyDescent="0.2">
      <c r="A37" s="1" t="s">
        <v>88</v>
      </c>
      <c r="B37" s="1">
        <v>979356</v>
      </c>
      <c r="C37">
        <f t="shared" si="0"/>
        <v>5</v>
      </c>
      <c r="E37">
        <v>2</v>
      </c>
      <c r="F37">
        <v>1.5</v>
      </c>
      <c r="G37">
        <v>1.5</v>
      </c>
    </row>
    <row r="38" spans="1:8" x14ac:dyDescent="0.2">
      <c r="A38" s="1" t="s">
        <v>90</v>
      </c>
      <c r="B38" s="1">
        <v>1494354</v>
      </c>
      <c r="C38">
        <f t="shared" si="0"/>
        <v>5</v>
      </c>
      <c r="E38">
        <v>2</v>
      </c>
      <c r="F38">
        <v>1.5</v>
      </c>
      <c r="G38">
        <v>1.5</v>
      </c>
    </row>
    <row r="39" spans="1:8" x14ac:dyDescent="0.2">
      <c r="A39" s="1" t="s">
        <v>92</v>
      </c>
      <c r="B39" s="1">
        <v>1437784</v>
      </c>
      <c r="C39">
        <f t="shared" si="0"/>
        <v>4</v>
      </c>
      <c r="E39">
        <v>2</v>
      </c>
      <c r="F39">
        <v>0.5</v>
      </c>
      <c r="G39">
        <v>1.5</v>
      </c>
      <c r="H39" t="s">
        <v>203</v>
      </c>
    </row>
    <row r="40" spans="1:8" x14ac:dyDescent="0.2">
      <c r="A40" s="1" t="s">
        <v>94</v>
      </c>
      <c r="B40" s="1">
        <v>1580719</v>
      </c>
      <c r="C40">
        <f t="shared" si="0"/>
        <v>3</v>
      </c>
      <c r="E40">
        <v>2</v>
      </c>
      <c r="F40">
        <v>0.5</v>
      </c>
      <c r="G40">
        <v>0.5</v>
      </c>
      <c r="H40" t="s">
        <v>219</v>
      </c>
    </row>
    <row r="41" spans="1:8" x14ac:dyDescent="0.2">
      <c r="A41" s="1" t="s">
        <v>96</v>
      </c>
      <c r="B41" s="1">
        <v>1270455</v>
      </c>
      <c r="C41">
        <f t="shared" si="0"/>
        <v>5</v>
      </c>
      <c r="E41">
        <v>2</v>
      </c>
      <c r="F41">
        <v>1.5</v>
      </c>
      <c r="G41">
        <v>1.5</v>
      </c>
    </row>
    <row r="42" spans="1:8" x14ac:dyDescent="0.2">
      <c r="A42" s="1" t="s">
        <v>98</v>
      </c>
      <c r="B42" s="1">
        <v>1442961</v>
      </c>
      <c r="C42">
        <f t="shared" si="0"/>
        <v>5</v>
      </c>
      <c r="E42">
        <v>2</v>
      </c>
      <c r="F42">
        <v>1.5</v>
      </c>
      <c r="G42">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C786-54F1-7F43-94B6-7E7EEDB4E940}">
  <dimension ref="A1:L42"/>
  <sheetViews>
    <sheetView topLeftCell="A21" workbookViewId="0">
      <selection activeCell="K3" sqref="K3"/>
    </sheetView>
  </sheetViews>
  <sheetFormatPr baseColWidth="10" defaultRowHeight="16" x14ac:dyDescent="0.2"/>
  <cols>
    <col min="11" max="11" width="51" bestFit="1" customWidth="1"/>
  </cols>
  <sheetData>
    <row r="1" spans="1:12" x14ac:dyDescent="0.2">
      <c r="A1" s="1" t="s">
        <v>0</v>
      </c>
      <c r="B1" s="1" t="s">
        <v>2</v>
      </c>
      <c r="C1" t="s">
        <v>109</v>
      </c>
      <c r="D1" s="1" t="s">
        <v>110</v>
      </c>
      <c r="E1" s="1" t="s">
        <v>167</v>
      </c>
      <c r="F1" s="1" t="s">
        <v>168</v>
      </c>
      <c r="G1" s="1" t="s">
        <v>169</v>
      </c>
      <c r="H1" s="1" t="s">
        <v>224</v>
      </c>
      <c r="I1" s="1" t="s">
        <v>225</v>
      </c>
      <c r="J1" s="1" t="s">
        <v>226</v>
      </c>
      <c r="K1" s="1" t="s">
        <v>111</v>
      </c>
      <c r="L1" s="1"/>
    </row>
    <row r="2" spans="1:12" x14ac:dyDescent="0.2">
      <c r="A2" s="1" t="s">
        <v>15</v>
      </c>
      <c r="B2" s="1">
        <v>0</v>
      </c>
      <c r="C2">
        <f>SUM(D2:J2)</f>
        <v>20</v>
      </c>
      <c r="D2">
        <v>0</v>
      </c>
      <c r="E2">
        <v>3</v>
      </c>
      <c r="F2">
        <v>3</v>
      </c>
      <c r="G2">
        <v>3</v>
      </c>
      <c r="H2">
        <v>4</v>
      </c>
      <c r="I2">
        <v>2</v>
      </c>
      <c r="J2">
        <v>5</v>
      </c>
    </row>
    <row r="3" spans="1:12" x14ac:dyDescent="0.2">
      <c r="A3" s="1" t="s">
        <v>17</v>
      </c>
      <c r="B3" s="1">
        <v>1370675</v>
      </c>
      <c r="C3">
        <f t="shared" ref="C3:C42" si="0">SUM(D3:J3)</f>
        <v>17.5</v>
      </c>
      <c r="E3">
        <v>3</v>
      </c>
      <c r="F3">
        <v>3</v>
      </c>
      <c r="G3">
        <v>1</v>
      </c>
      <c r="H3">
        <v>4</v>
      </c>
      <c r="I3">
        <v>1.5</v>
      </c>
      <c r="J3">
        <v>5</v>
      </c>
      <c r="K3" t="str">
        <f>_xlfn.CONCAT("Q1: ",E3,"/3. Q2: ",F3,"/3. Q3: ",G3,"/3. Q4: ",H3,"/4. Q5: ",I3,"/2. Q6: ",J3,"/5.")</f>
        <v>Q1: 3/3. Q2: 3/3. Q3: 1/3. Q4: 4/4. Q5: 1.5/2. Q6: 5/5.</v>
      </c>
      <c r="L3" t="s">
        <v>232</v>
      </c>
    </row>
    <row r="4" spans="1:12" x14ac:dyDescent="0.2">
      <c r="A4" s="1" t="s">
        <v>21</v>
      </c>
      <c r="B4" s="1">
        <v>995802</v>
      </c>
      <c r="C4">
        <f t="shared" si="0"/>
        <v>19.5</v>
      </c>
      <c r="E4">
        <v>3</v>
      </c>
      <c r="F4">
        <v>3</v>
      </c>
      <c r="G4">
        <v>3</v>
      </c>
      <c r="H4">
        <v>3.5</v>
      </c>
      <c r="I4">
        <v>2</v>
      </c>
      <c r="J4">
        <v>5</v>
      </c>
      <c r="K4" t="str">
        <f t="shared" ref="K4:K42" si="1">_xlfn.CONCAT("Q1: ",E4,"/3. Q2: ",F4,"/3. Q3: ",G4,"/3. Q4: ",H4,"/4. Q5: ",I4,"/2. Q6: ",J4,"/5.")</f>
        <v>Q1: 3/3. Q2: 3/3. Q3: 3/3. Q4: 3.5/4. Q5: 2/2. Q6: 5/5.</v>
      </c>
      <c r="L4" t="s">
        <v>233</v>
      </c>
    </row>
    <row r="5" spans="1:12" x14ac:dyDescent="0.2">
      <c r="A5" s="1" t="s">
        <v>23</v>
      </c>
      <c r="B5" s="1">
        <v>1417057</v>
      </c>
      <c r="C5">
        <f t="shared" si="0"/>
        <v>19.5</v>
      </c>
      <c r="E5">
        <v>3</v>
      </c>
      <c r="F5">
        <v>3</v>
      </c>
      <c r="G5">
        <v>3</v>
      </c>
      <c r="H5">
        <v>3.5</v>
      </c>
      <c r="I5">
        <v>2</v>
      </c>
      <c r="J5">
        <v>5</v>
      </c>
      <c r="K5" t="str">
        <f t="shared" si="1"/>
        <v>Q1: 3/3. Q2: 3/3. Q3: 3/3. Q4: 3.5/4. Q5: 2/2. Q6: 5/5.</v>
      </c>
      <c r="L5" t="s">
        <v>234</v>
      </c>
    </row>
    <row r="6" spans="1:12" x14ac:dyDescent="0.2">
      <c r="A6" s="1" t="s">
        <v>25</v>
      </c>
      <c r="B6" s="1">
        <v>1374388</v>
      </c>
      <c r="C6">
        <f t="shared" si="0"/>
        <v>13</v>
      </c>
      <c r="E6">
        <v>2</v>
      </c>
      <c r="F6">
        <v>1</v>
      </c>
      <c r="G6">
        <v>3</v>
      </c>
      <c r="H6">
        <v>2</v>
      </c>
      <c r="I6">
        <v>2</v>
      </c>
      <c r="J6">
        <v>3</v>
      </c>
      <c r="K6" t="str">
        <f t="shared" si="1"/>
        <v>Q1: 2/3. Q2: 1/3. Q3: 3/3. Q4: 2/4. Q5: 2/2. Q6: 3/5.</v>
      </c>
      <c r="L6" t="s">
        <v>245</v>
      </c>
    </row>
    <row r="7" spans="1:12" x14ac:dyDescent="0.2">
      <c r="A7" s="1" t="s">
        <v>27</v>
      </c>
      <c r="B7" s="1">
        <v>1373562</v>
      </c>
      <c r="C7">
        <f t="shared" si="0"/>
        <v>19.5</v>
      </c>
      <c r="E7">
        <v>3</v>
      </c>
      <c r="F7">
        <v>3</v>
      </c>
      <c r="G7">
        <v>3</v>
      </c>
      <c r="H7">
        <v>3.5</v>
      </c>
      <c r="I7">
        <v>2</v>
      </c>
      <c r="J7">
        <v>5</v>
      </c>
      <c r="K7" t="str">
        <f t="shared" si="1"/>
        <v>Q1: 3/3. Q2: 3/3. Q3: 3/3. Q4: 3.5/4. Q5: 2/2. Q6: 5/5.</v>
      </c>
      <c r="L7" t="s">
        <v>235</v>
      </c>
    </row>
    <row r="8" spans="1:12" x14ac:dyDescent="0.2">
      <c r="A8" s="1" t="s">
        <v>29</v>
      </c>
      <c r="B8" s="1">
        <v>1443406</v>
      </c>
      <c r="C8">
        <f t="shared" si="0"/>
        <v>17</v>
      </c>
      <c r="E8">
        <v>2</v>
      </c>
      <c r="F8">
        <v>2</v>
      </c>
      <c r="G8">
        <v>3</v>
      </c>
      <c r="H8">
        <v>3.5</v>
      </c>
      <c r="I8">
        <v>1.5</v>
      </c>
      <c r="J8">
        <v>5</v>
      </c>
      <c r="K8" t="str">
        <f t="shared" si="1"/>
        <v>Q1: 2/3. Q2: 2/3. Q3: 3/3. Q4: 3.5/4. Q5: 1.5/2. Q6: 5/5.</v>
      </c>
      <c r="L8" t="s">
        <v>236</v>
      </c>
    </row>
    <row r="9" spans="1:12" x14ac:dyDescent="0.2">
      <c r="A9" s="1" t="s">
        <v>31</v>
      </c>
      <c r="B9" s="1">
        <v>1555968</v>
      </c>
      <c r="C9">
        <f t="shared" si="0"/>
        <v>18.5</v>
      </c>
      <c r="E9">
        <v>2</v>
      </c>
      <c r="F9">
        <v>3</v>
      </c>
      <c r="G9">
        <v>3</v>
      </c>
      <c r="H9">
        <v>3.5</v>
      </c>
      <c r="I9">
        <v>2</v>
      </c>
      <c r="J9">
        <v>5</v>
      </c>
      <c r="K9" t="str">
        <f t="shared" si="1"/>
        <v>Q1: 2/3. Q2: 3/3. Q3: 3/3. Q4: 3.5/4. Q5: 2/2. Q6: 5/5.</v>
      </c>
      <c r="L9" t="s">
        <v>237</v>
      </c>
    </row>
    <row r="10" spans="1:12" x14ac:dyDescent="0.2">
      <c r="A10" s="1" t="s">
        <v>33</v>
      </c>
      <c r="B10" s="1">
        <v>1436599</v>
      </c>
      <c r="C10">
        <f t="shared" si="0"/>
        <v>8.5</v>
      </c>
      <c r="E10">
        <v>2</v>
      </c>
      <c r="F10">
        <v>1</v>
      </c>
      <c r="G10">
        <v>1</v>
      </c>
      <c r="H10">
        <v>1</v>
      </c>
      <c r="I10">
        <v>1.5</v>
      </c>
      <c r="J10">
        <v>2</v>
      </c>
      <c r="K10" t="str">
        <f t="shared" si="1"/>
        <v>Q1: 2/3. Q2: 1/3. Q3: 1/3. Q4: 1/4. Q5: 1.5/2. Q6: 2/5.</v>
      </c>
      <c r="L10" t="s">
        <v>246</v>
      </c>
    </row>
    <row r="11" spans="1:12" x14ac:dyDescent="0.2">
      <c r="A11" s="1" t="s">
        <v>35</v>
      </c>
      <c r="B11" s="1">
        <v>1072476</v>
      </c>
      <c r="C11">
        <f t="shared" si="0"/>
        <v>17</v>
      </c>
      <c r="E11">
        <v>3</v>
      </c>
      <c r="F11">
        <v>2.5</v>
      </c>
      <c r="G11">
        <v>3</v>
      </c>
      <c r="H11">
        <v>3.5</v>
      </c>
      <c r="I11">
        <v>2</v>
      </c>
      <c r="J11">
        <v>3</v>
      </c>
      <c r="K11" t="str">
        <f t="shared" si="1"/>
        <v>Q1: 3/3. Q2: 2.5/3. Q3: 3/3. Q4: 3.5/4. Q5: 2/2. Q6: 3/5.</v>
      </c>
      <c r="L11" t="s">
        <v>247</v>
      </c>
    </row>
    <row r="12" spans="1:12" x14ac:dyDescent="0.2">
      <c r="A12" s="1" t="s">
        <v>37</v>
      </c>
      <c r="B12" s="1">
        <v>1316006</v>
      </c>
      <c r="C12">
        <f t="shared" si="0"/>
        <v>15</v>
      </c>
      <c r="E12">
        <v>3</v>
      </c>
      <c r="F12">
        <v>1</v>
      </c>
      <c r="G12">
        <v>1</v>
      </c>
      <c r="H12">
        <v>3.5</v>
      </c>
      <c r="I12">
        <v>1.5</v>
      </c>
      <c r="J12">
        <v>5</v>
      </c>
      <c r="K12" t="str">
        <f t="shared" si="1"/>
        <v>Q1: 3/3. Q2: 1/3. Q3: 1/3. Q4: 3.5/4. Q5: 1.5/2. Q6: 5/5.</v>
      </c>
      <c r="L12" t="s">
        <v>238</v>
      </c>
    </row>
    <row r="13" spans="1:12" x14ac:dyDescent="0.2">
      <c r="A13" s="1" t="s">
        <v>39</v>
      </c>
      <c r="B13" s="1">
        <v>650596</v>
      </c>
      <c r="C13">
        <f t="shared" si="0"/>
        <v>16</v>
      </c>
      <c r="E13">
        <v>3</v>
      </c>
      <c r="F13">
        <v>2</v>
      </c>
      <c r="G13">
        <v>3</v>
      </c>
      <c r="H13">
        <v>4</v>
      </c>
      <c r="I13">
        <v>1.5</v>
      </c>
      <c r="J13">
        <v>2.5</v>
      </c>
      <c r="K13" t="str">
        <f t="shared" si="1"/>
        <v>Q1: 3/3. Q2: 2/3. Q3: 3/3. Q4: 4/4. Q5: 1.5/2. Q6: 2.5/5.</v>
      </c>
      <c r="L13" t="s">
        <v>248</v>
      </c>
    </row>
    <row r="14" spans="1:12" x14ac:dyDescent="0.2">
      <c r="A14" s="1" t="s">
        <v>41</v>
      </c>
      <c r="B14" s="1">
        <v>1063490</v>
      </c>
      <c r="C14">
        <f t="shared" si="0"/>
        <v>14.5</v>
      </c>
      <c r="E14">
        <v>1.5</v>
      </c>
      <c r="F14">
        <v>3</v>
      </c>
      <c r="G14">
        <v>3</v>
      </c>
      <c r="H14">
        <v>3</v>
      </c>
      <c r="I14">
        <v>1.5</v>
      </c>
      <c r="J14">
        <v>2.5</v>
      </c>
      <c r="K14" t="str">
        <f t="shared" si="1"/>
        <v>Q1: 1.5/3. Q2: 3/3. Q3: 3/3. Q4: 3/4. Q5: 1.5/2. Q6: 2.5/5.</v>
      </c>
      <c r="L14" t="s">
        <v>249</v>
      </c>
    </row>
    <row r="15" spans="1:12" x14ac:dyDescent="0.2">
      <c r="A15" s="1" t="s">
        <v>43</v>
      </c>
      <c r="B15" s="1">
        <v>1502683</v>
      </c>
      <c r="C15">
        <f t="shared" si="0"/>
        <v>11.5</v>
      </c>
      <c r="E15">
        <v>3</v>
      </c>
      <c r="F15">
        <v>1</v>
      </c>
      <c r="G15">
        <v>2</v>
      </c>
      <c r="H15">
        <v>1</v>
      </c>
      <c r="I15">
        <v>1.5</v>
      </c>
      <c r="J15">
        <v>3</v>
      </c>
      <c r="K15" t="str">
        <f t="shared" si="1"/>
        <v>Q1: 3/3. Q2: 1/3. Q3: 2/3. Q4: 1/4. Q5: 1.5/2. Q6: 3/5.</v>
      </c>
      <c r="L15" t="s">
        <v>250</v>
      </c>
    </row>
    <row r="16" spans="1:12" x14ac:dyDescent="0.2">
      <c r="A16" s="1" t="s">
        <v>45</v>
      </c>
      <c r="B16" s="1">
        <v>884343</v>
      </c>
      <c r="C16">
        <f t="shared" si="0"/>
        <v>14</v>
      </c>
      <c r="E16">
        <v>3</v>
      </c>
      <c r="F16">
        <v>3</v>
      </c>
      <c r="G16">
        <v>3</v>
      </c>
      <c r="H16">
        <v>3</v>
      </c>
      <c r="I16">
        <v>2</v>
      </c>
      <c r="J16">
        <v>0</v>
      </c>
      <c r="K16" t="str">
        <f t="shared" si="1"/>
        <v>Q1: 3/3. Q2: 3/3. Q3: 3/3. Q4: 3/4. Q5: 2/2. Q6: 0/5.</v>
      </c>
      <c r="L16" t="s">
        <v>251</v>
      </c>
    </row>
    <row r="17" spans="1:12" x14ac:dyDescent="0.2">
      <c r="A17" s="1" t="s">
        <v>47</v>
      </c>
      <c r="B17" s="1">
        <v>1510683</v>
      </c>
      <c r="C17">
        <f t="shared" si="0"/>
        <v>12</v>
      </c>
      <c r="E17">
        <v>3</v>
      </c>
      <c r="F17">
        <v>1</v>
      </c>
      <c r="G17">
        <v>2</v>
      </c>
      <c r="H17">
        <v>1</v>
      </c>
      <c r="I17">
        <v>2</v>
      </c>
      <c r="J17">
        <v>3</v>
      </c>
      <c r="K17" t="str">
        <f t="shared" si="1"/>
        <v>Q1: 3/3. Q2: 1/3. Q3: 2/3. Q4: 1/4. Q5: 2/2. Q6: 3/5.</v>
      </c>
      <c r="L17" t="s">
        <v>252</v>
      </c>
    </row>
    <row r="18" spans="1:12" x14ac:dyDescent="0.2">
      <c r="A18" s="1" t="s">
        <v>49</v>
      </c>
      <c r="B18" s="1">
        <v>1074491</v>
      </c>
      <c r="C18">
        <f t="shared" si="0"/>
        <v>15.5</v>
      </c>
      <c r="E18">
        <v>3</v>
      </c>
      <c r="F18">
        <v>1</v>
      </c>
      <c r="G18">
        <v>3</v>
      </c>
      <c r="H18">
        <v>3</v>
      </c>
      <c r="I18">
        <v>2</v>
      </c>
      <c r="J18">
        <v>3.5</v>
      </c>
      <c r="K18" t="str">
        <f t="shared" si="1"/>
        <v>Q1: 3/3. Q2: 1/3. Q3: 3/3. Q4: 3/4. Q5: 2/2. Q6: 3.5/5.</v>
      </c>
      <c r="L18" t="s">
        <v>253</v>
      </c>
    </row>
    <row r="19" spans="1:12" x14ac:dyDescent="0.2">
      <c r="A19" s="1" t="s">
        <v>51</v>
      </c>
      <c r="B19" s="1">
        <v>1495622</v>
      </c>
      <c r="C19">
        <f t="shared" si="0"/>
        <v>12.5</v>
      </c>
      <c r="E19">
        <v>2.5</v>
      </c>
      <c r="F19">
        <v>1</v>
      </c>
      <c r="G19">
        <v>3</v>
      </c>
      <c r="H19">
        <v>1</v>
      </c>
      <c r="I19">
        <v>2</v>
      </c>
      <c r="J19">
        <v>3</v>
      </c>
      <c r="K19" t="str">
        <f t="shared" si="1"/>
        <v>Q1: 2.5/3. Q2: 1/3. Q3: 3/3. Q4: 1/4. Q5: 2/2. Q6: 3/5.</v>
      </c>
      <c r="L19" t="s">
        <v>254</v>
      </c>
    </row>
    <row r="20" spans="1:12" x14ac:dyDescent="0.2">
      <c r="A20" s="1" t="s">
        <v>53</v>
      </c>
      <c r="B20" s="1">
        <v>992893</v>
      </c>
      <c r="C20">
        <f t="shared" si="0"/>
        <v>17.5</v>
      </c>
      <c r="E20">
        <v>3</v>
      </c>
      <c r="F20">
        <v>3</v>
      </c>
      <c r="G20">
        <v>3</v>
      </c>
      <c r="H20">
        <v>4</v>
      </c>
      <c r="I20">
        <v>2</v>
      </c>
      <c r="J20">
        <v>2.5</v>
      </c>
      <c r="K20" t="str">
        <f t="shared" si="1"/>
        <v>Q1: 3/3. Q2: 3/3. Q3: 3/3. Q4: 4/4. Q5: 2/2. Q6: 2.5/5.</v>
      </c>
      <c r="L20" t="s">
        <v>255</v>
      </c>
    </row>
    <row r="21" spans="1:12" x14ac:dyDescent="0.2">
      <c r="A21" s="1" t="s">
        <v>55</v>
      </c>
      <c r="B21" s="1">
        <v>1181978</v>
      </c>
      <c r="C21">
        <f t="shared" si="0"/>
        <v>16</v>
      </c>
      <c r="E21">
        <v>2</v>
      </c>
      <c r="F21">
        <v>3</v>
      </c>
      <c r="G21">
        <v>2.5</v>
      </c>
      <c r="H21">
        <v>3.5</v>
      </c>
      <c r="I21">
        <v>2</v>
      </c>
      <c r="J21">
        <v>3</v>
      </c>
      <c r="K21" t="str">
        <f t="shared" si="1"/>
        <v>Q1: 2/3. Q2: 3/3. Q3: 2.5/3. Q4: 3.5/4. Q5: 2/2. Q6: 3/5.</v>
      </c>
      <c r="L21" t="s">
        <v>256</v>
      </c>
    </row>
    <row r="22" spans="1:12" x14ac:dyDescent="0.2">
      <c r="A22" s="1" t="s">
        <v>57</v>
      </c>
      <c r="B22" s="1">
        <v>1051214</v>
      </c>
      <c r="C22">
        <f t="shared" si="0"/>
        <v>17.5</v>
      </c>
      <c r="E22">
        <v>3</v>
      </c>
      <c r="F22">
        <v>1</v>
      </c>
      <c r="G22">
        <v>3</v>
      </c>
      <c r="H22">
        <v>3.5</v>
      </c>
      <c r="I22">
        <v>2</v>
      </c>
      <c r="J22">
        <v>5</v>
      </c>
      <c r="K22" t="str">
        <f t="shared" si="1"/>
        <v>Q1: 3/3. Q2: 1/3. Q3: 3/3. Q4: 3.5/4. Q5: 2/2. Q6: 5/5.</v>
      </c>
      <c r="L22" t="s">
        <v>239</v>
      </c>
    </row>
    <row r="23" spans="1:12" hidden="1" x14ac:dyDescent="0.2">
      <c r="A23" s="1" t="s">
        <v>59</v>
      </c>
      <c r="B23" s="1" t="s">
        <v>60</v>
      </c>
      <c r="C23">
        <f t="shared" si="0"/>
        <v>0</v>
      </c>
      <c r="K23" t="str">
        <f t="shared" si="1"/>
        <v>Q1: /3. Q2: /3. Q3: /3. Q4: /4. Q5: /2. Q6: /5.</v>
      </c>
    </row>
    <row r="24" spans="1:12" hidden="1" x14ac:dyDescent="0.2">
      <c r="A24" s="1" t="s">
        <v>62</v>
      </c>
      <c r="B24" s="1" t="s">
        <v>63</v>
      </c>
      <c r="C24">
        <f t="shared" si="0"/>
        <v>0</v>
      </c>
      <c r="K24" t="str">
        <f t="shared" si="1"/>
        <v>Q1: /3. Q2: /3. Q3: /3. Q4: /4. Q5: /2. Q6: /5.</v>
      </c>
    </row>
    <row r="25" spans="1:12" x14ac:dyDescent="0.2">
      <c r="A25" s="1" t="s">
        <v>64</v>
      </c>
      <c r="B25" s="1">
        <v>1549443</v>
      </c>
      <c r="C25">
        <f t="shared" si="0"/>
        <v>12</v>
      </c>
      <c r="E25">
        <v>2.5</v>
      </c>
      <c r="F25">
        <v>1.5</v>
      </c>
      <c r="G25">
        <v>1.5</v>
      </c>
      <c r="H25">
        <v>2.5</v>
      </c>
      <c r="I25">
        <v>1</v>
      </c>
      <c r="J25">
        <v>3</v>
      </c>
      <c r="K25" t="str">
        <f t="shared" si="1"/>
        <v>Q1: 2.5/3. Q2: 1.5/3. Q3: 1.5/3. Q4: 2.5/4. Q5: 1/2. Q6: 3/5.</v>
      </c>
      <c r="L25" t="s">
        <v>257</v>
      </c>
    </row>
    <row r="26" spans="1:12" x14ac:dyDescent="0.2">
      <c r="A26" s="1" t="s">
        <v>66</v>
      </c>
      <c r="B26" s="1">
        <v>1510033</v>
      </c>
      <c r="C26">
        <f t="shared" si="0"/>
        <v>6.5</v>
      </c>
      <c r="E26">
        <v>1.5</v>
      </c>
      <c r="F26">
        <v>0.5</v>
      </c>
      <c r="G26">
        <v>1.5</v>
      </c>
      <c r="H26">
        <v>1</v>
      </c>
      <c r="I26">
        <v>1</v>
      </c>
      <c r="J26">
        <v>1</v>
      </c>
      <c r="K26" t="str">
        <f>_xlfn.CONCAT("Q1: ",E26,"/3. Q2: ",F26,"/3. Q3: ",G26,"/3. Q4: ",H26,"/4. Q5: ",I26,"/2. Q6: ",J26,"/5.")</f>
        <v>Q1: 1.5/3. Q2: 0.5/3. Q3: 1.5/3. Q4: 1/4. Q5: 1/2. Q6: 1/5.</v>
      </c>
      <c r="L26" t="s">
        <v>258</v>
      </c>
    </row>
    <row r="27" spans="1:12" x14ac:dyDescent="0.2">
      <c r="A27" s="1" t="s">
        <v>68</v>
      </c>
      <c r="B27" s="1">
        <v>1168383</v>
      </c>
      <c r="C27">
        <f t="shared" si="0"/>
        <v>9</v>
      </c>
      <c r="E27">
        <v>2</v>
      </c>
      <c r="F27">
        <v>1</v>
      </c>
      <c r="G27">
        <v>1.5</v>
      </c>
      <c r="H27">
        <v>1</v>
      </c>
      <c r="I27">
        <v>0</v>
      </c>
      <c r="J27">
        <v>3.5</v>
      </c>
      <c r="K27" t="str">
        <f t="shared" si="1"/>
        <v>Q1: 2/3. Q2: 1/3. Q3: 1.5/3. Q4: 1/4. Q5: 0/2. Q6: 3.5/5.</v>
      </c>
      <c r="L27" t="s">
        <v>259</v>
      </c>
    </row>
    <row r="28" spans="1:12" x14ac:dyDescent="0.2">
      <c r="A28" s="1" t="s">
        <v>70</v>
      </c>
      <c r="B28" s="1">
        <v>1436936</v>
      </c>
      <c r="C28">
        <f t="shared" si="0"/>
        <v>10.5</v>
      </c>
      <c r="E28">
        <v>1</v>
      </c>
      <c r="F28">
        <v>1</v>
      </c>
      <c r="G28">
        <v>1.5</v>
      </c>
      <c r="H28">
        <v>2.5</v>
      </c>
      <c r="I28">
        <v>1.5</v>
      </c>
      <c r="J28">
        <v>3</v>
      </c>
      <c r="K28" t="str">
        <f t="shared" si="1"/>
        <v>Q1: 1/3. Q2: 1/3. Q3: 1.5/3. Q4: 2.5/4. Q5: 1.5/2. Q6: 3/5.</v>
      </c>
      <c r="L28" t="s">
        <v>260</v>
      </c>
    </row>
    <row r="29" spans="1:12" x14ac:dyDescent="0.2">
      <c r="A29" s="1" t="s">
        <v>72</v>
      </c>
      <c r="B29" s="1">
        <v>1322753</v>
      </c>
      <c r="C29">
        <f t="shared" si="0"/>
        <v>14.5</v>
      </c>
      <c r="E29">
        <v>1.5</v>
      </c>
      <c r="F29">
        <v>1.5</v>
      </c>
      <c r="G29">
        <v>2.5</v>
      </c>
      <c r="H29">
        <v>3</v>
      </c>
      <c r="I29">
        <v>1</v>
      </c>
      <c r="J29">
        <v>5</v>
      </c>
      <c r="K29" t="str">
        <f t="shared" si="1"/>
        <v>Q1: 1.5/3. Q2: 1.5/3. Q3: 2.5/3. Q4: 3/4. Q5: 1/2. Q6: 5/5.</v>
      </c>
      <c r="L29" t="s">
        <v>244</v>
      </c>
    </row>
    <row r="30" spans="1:12" x14ac:dyDescent="0.2">
      <c r="A30" s="1" t="s">
        <v>74</v>
      </c>
      <c r="B30" s="1">
        <v>1474916</v>
      </c>
      <c r="C30">
        <f t="shared" si="0"/>
        <v>16.5</v>
      </c>
      <c r="E30">
        <v>3</v>
      </c>
      <c r="F30">
        <v>3</v>
      </c>
      <c r="G30">
        <v>1.5</v>
      </c>
      <c r="H30">
        <v>4</v>
      </c>
      <c r="I30">
        <v>2</v>
      </c>
      <c r="J30">
        <v>3</v>
      </c>
      <c r="K30" t="str">
        <f t="shared" si="1"/>
        <v>Q1: 3/3. Q2: 3/3. Q3: 1.5/3. Q4: 4/4. Q5: 2/2. Q6: 3/5.</v>
      </c>
      <c r="L30" t="s">
        <v>261</v>
      </c>
    </row>
    <row r="31" spans="1:12" x14ac:dyDescent="0.2">
      <c r="A31" s="1" t="s">
        <v>76</v>
      </c>
      <c r="B31" s="1">
        <v>1036484</v>
      </c>
      <c r="C31">
        <f t="shared" si="0"/>
        <v>19.5</v>
      </c>
      <c r="E31">
        <v>3</v>
      </c>
      <c r="F31">
        <v>3</v>
      </c>
      <c r="G31">
        <v>3</v>
      </c>
      <c r="H31">
        <v>3.5</v>
      </c>
      <c r="I31">
        <v>2</v>
      </c>
      <c r="J31">
        <v>5</v>
      </c>
      <c r="K31" t="str">
        <f t="shared" si="1"/>
        <v>Q1: 3/3. Q2: 3/3. Q3: 3/3. Q4: 3.5/4. Q5: 2/2. Q6: 5/5.</v>
      </c>
      <c r="L31" t="s">
        <v>240</v>
      </c>
    </row>
    <row r="32" spans="1:12" x14ac:dyDescent="0.2">
      <c r="A32" s="1" t="s">
        <v>78</v>
      </c>
      <c r="B32" s="1">
        <v>1349379</v>
      </c>
      <c r="C32">
        <f t="shared" si="0"/>
        <v>14.5</v>
      </c>
      <c r="E32">
        <v>1</v>
      </c>
      <c r="F32">
        <v>1</v>
      </c>
      <c r="G32">
        <v>3</v>
      </c>
      <c r="H32">
        <v>3</v>
      </c>
      <c r="I32">
        <v>1.5</v>
      </c>
      <c r="J32">
        <v>5</v>
      </c>
      <c r="K32" t="str">
        <f t="shared" si="1"/>
        <v>Q1: 1/3. Q2: 1/3. Q3: 3/3. Q4: 3/4. Q5: 1.5/2. Q6: 5/5.</v>
      </c>
      <c r="L32" t="s">
        <v>241</v>
      </c>
    </row>
    <row r="33" spans="1:12" x14ac:dyDescent="0.2">
      <c r="A33" s="1" t="s">
        <v>80</v>
      </c>
      <c r="B33" s="1">
        <v>1464811</v>
      </c>
      <c r="C33">
        <f t="shared" si="0"/>
        <v>18.5</v>
      </c>
      <c r="E33">
        <v>3</v>
      </c>
      <c r="F33">
        <v>3</v>
      </c>
      <c r="G33">
        <v>3</v>
      </c>
      <c r="H33">
        <v>3.5</v>
      </c>
      <c r="I33">
        <v>2</v>
      </c>
      <c r="J33">
        <v>4</v>
      </c>
      <c r="K33" t="str">
        <f t="shared" si="1"/>
        <v>Q1: 3/3. Q2: 3/3. Q3: 3/3. Q4: 3.5/4. Q5: 2/2. Q6: 4/5.</v>
      </c>
      <c r="L33" t="s">
        <v>262</v>
      </c>
    </row>
    <row r="34" spans="1:12" x14ac:dyDescent="0.2">
      <c r="A34" s="1" t="s">
        <v>82</v>
      </c>
      <c r="B34" s="1">
        <v>1177465</v>
      </c>
      <c r="C34">
        <f t="shared" si="0"/>
        <v>15.5</v>
      </c>
      <c r="E34">
        <v>3</v>
      </c>
      <c r="F34">
        <v>1.5</v>
      </c>
      <c r="G34">
        <v>3</v>
      </c>
      <c r="H34">
        <v>3</v>
      </c>
      <c r="I34">
        <v>2</v>
      </c>
      <c r="J34">
        <v>3</v>
      </c>
      <c r="K34" t="str">
        <f t="shared" si="1"/>
        <v>Q1: 3/3. Q2: 1.5/3. Q3: 3/3. Q4: 3/4. Q5: 2/2. Q6: 3/5.</v>
      </c>
      <c r="L34" t="s">
        <v>263</v>
      </c>
    </row>
    <row r="35" spans="1:12" x14ac:dyDescent="0.2">
      <c r="A35" s="1" t="s">
        <v>84</v>
      </c>
      <c r="B35" s="1">
        <v>1086178</v>
      </c>
      <c r="C35">
        <f t="shared" si="0"/>
        <v>16.5</v>
      </c>
      <c r="E35">
        <v>2</v>
      </c>
      <c r="F35">
        <v>2.5</v>
      </c>
      <c r="G35">
        <v>3</v>
      </c>
      <c r="H35">
        <v>2.5</v>
      </c>
      <c r="I35">
        <v>1.5</v>
      </c>
      <c r="J35">
        <v>5</v>
      </c>
      <c r="K35" t="str">
        <f t="shared" si="1"/>
        <v>Q1: 2/3. Q2: 2.5/3. Q3: 3/3. Q4: 2.5/4. Q5: 1.5/2. Q6: 5/5.</v>
      </c>
      <c r="L35" t="s">
        <v>242</v>
      </c>
    </row>
    <row r="36" spans="1:12" x14ac:dyDescent="0.2">
      <c r="A36" s="1" t="s">
        <v>86</v>
      </c>
      <c r="B36" s="1">
        <v>1533296</v>
      </c>
      <c r="C36">
        <f t="shared" si="0"/>
        <v>9.5</v>
      </c>
      <c r="E36">
        <v>1.5</v>
      </c>
      <c r="F36">
        <v>2</v>
      </c>
      <c r="G36">
        <v>1.5</v>
      </c>
      <c r="H36">
        <v>1.5</v>
      </c>
      <c r="I36">
        <v>0</v>
      </c>
      <c r="J36">
        <v>3</v>
      </c>
      <c r="K36" t="str">
        <f>_xlfn.CONCAT("Q1: ",E36,"/3. Q2: ",F36,"/3. Q3: ",G36,"/3. Q4: ",H36,"/4. Q5: ",I36,"/2. Q6: ",J36,"/5.")</f>
        <v>Q1: 1.5/3. Q2: 2/3. Q3: 1.5/3. Q4: 1.5/4. Q5: 0/2. Q6: 3/5.</v>
      </c>
      <c r="L36" t="s">
        <v>268</v>
      </c>
    </row>
    <row r="37" spans="1:12" x14ac:dyDescent="0.2">
      <c r="A37" s="1" t="s">
        <v>88</v>
      </c>
      <c r="B37" s="1">
        <v>979356</v>
      </c>
      <c r="C37">
        <f t="shared" si="0"/>
        <v>14.5</v>
      </c>
      <c r="E37">
        <v>2</v>
      </c>
      <c r="F37">
        <v>1.5</v>
      </c>
      <c r="G37">
        <v>3</v>
      </c>
      <c r="H37">
        <v>3</v>
      </c>
      <c r="I37">
        <v>2</v>
      </c>
      <c r="J37">
        <v>3</v>
      </c>
      <c r="K37" t="str">
        <f t="shared" si="1"/>
        <v>Q1: 2/3. Q2: 1.5/3. Q3: 3/3. Q4: 3/4. Q5: 2/2. Q6: 3/5.</v>
      </c>
      <c r="L37" t="s">
        <v>264</v>
      </c>
    </row>
    <row r="38" spans="1:12" x14ac:dyDescent="0.2">
      <c r="A38" s="1" t="s">
        <v>90</v>
      </c>
      <c r="B38" s="1">
        <v>1494354</v>
      </c>
      <c r="C38">
        <f t="shared" si="0"/>
        <v>16</v>
      </c>
      <c r="E38">
        <v>3</v>
      </c>
      <c r="F38">
        <v>3</v>
      </c>
      <c r="G38">
        <v>3</v>
      </c>
      <c r="H38">
        <v>3</v>
      </c>
      <c r="I38">
        <v>2</v>
      </c>
      <c r="J38">
        <v>2</v>
      </c>
      <c r="K38" t="str">
        <f t="shared" si="1"/>
        <v>Q1: 3/3. Q2: 3/3. Q3: 3/3. Q4: 3/4. Q5: 2/2. Q6: 2/5.</v>
      </c>
      <c r="L38" t="s">
        <v>265</v>
      </c>
    </row>
    <row r="39" spans="1:12" x14ac:dyDescent="0.2">
      <c r="A39" s="1" t="s">
        <v>92</v>
      </c>
      <c r="B39" s="1">
        <v>1437784</v>
      </c>
      <c r="C39">
        <f t="shared" si="0"/>
        <v>16</v>
      </c>
      <c r="E39">
        <v>3</v>
      </c>
      <c r="F39">
        <v>3</v>
      </c>
      <c r="G39">
        <v>2</v>
      </c>
      <c r="H39">
        <v>2</v>
      </c>
      <c r="I39">
        <v>2</v>
      </c>
      <c r="J39">
        <v>4</v>
      </c>
      <c r="K39" t="str">
        <f t="shared" si="1"/>
        <v>Q1: 3/3. Q2: 3/3. Q3: 2/3. Q4: 2/4. Q5: 2/2. Q6: 4/5.</v>
      </c>
      <c r="L39" t="s">
        <v>266</v>
      </c>
    </row>
    <row r="40" spans="1:12" x14ac:dyDescent="0.2">
      <c r="A40" s="1" t="s">
        <v>94</v>
      </c>
      <c r="B40" s="1">
        <v>1580719</v>
      </c>
      <c r="C40">
        <f t="shared" si="0"/>
        <v>13</v>
      </c>
      <c r="E40">
        <v>3</v>
      </c>
      <c r="F40">
        <v>1.5</v>
      </c>
      <c r="G40">
        <v>1.5</v>
      </c>
      <c r="H40">
        <v>2.5</v>
      </c>
      <c r="I40">
        <v>1.5</v>
      </c>
      <c r="J40">
        <v>3</v>
      </c>
      <c r="K40" t="str">
        <f t="shared" si="1"/>
        <v>Q1: 3/3. Q2: 1.5/3. Q3: 1.5/3. Q4: 2.5/4. Q5: 1.5/2. Q6: 3/5.</v>
      </c>
      <c r="L40" t="s">
        <v>267</v>
      </c>
    </row>
    <row r="41" spans="1:12" x14ac:dyDescent="0.2">
      <c r="A41" s="1" t="s">
        <v>96</v>
      </c>
      <c r="B41" s="1">
        <v>1270455</v>
      </c>
      <c r="C41">
        <f t="shared" si="0"/>
        <v>15</v>
      </c>
      <c r="E41">
        <v>3</v>
      </c>
      <c r="F41">
        <v>2.5</v>
      </c>
      <c r="G41">
        <v>1.5</v>
      </c>
      <c r="H41">
        <v>2</v>
      </c>
      <c r="I41">
        <v>1</v>
      </c>
      <c r="J41">
        <v>5</v>
      </c>
      <c r="K41" t="str">
        <f t="shared" si="1"/>
        <v>Q1: 3/3. Q2: 2.5/3. Q3: 1.5/3. Q4: 2/4. Q5: 1/2. Q6: 5/5.</v>
      </c>
      <c r="L41" t="s">
        <v>243</v>
      </c>
    </row>
    <row r="42" spans="1:12" x14ac:dyDescent="0.2">
      <c r="A42" s="1" t="s">
        <v>98</v>
      </c>
      <c r="B42" s="1">
        <v>1442961</v>
      </c>
      <c r="C42">
        <f t="shared" si="0"/>
        <v>18</v>
      </c>
      <c r="E42">
        <v>3</v>
      </c>
      <c r="F42">
        <v>1</v>
      </c>
      <c r="G42">
        <v>3</v>
      </c>
      <c r="H42">
        <v>4</v>
      </c>
      <c r="I42">
        <v>2</v>
      </c>
      <c r="J42">
        <v>5</v>
      </c>
      <c r="K42" t="str">
        <f t="shared" si="1"/>
        <v>Q1: 3/3. Q2: 1/3. Q3: 3/3. Q4: 4/4. Q5: 2/2. Q6: 5/5.</v>
      </c>
      <c r="L42" t="s">
        <v>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286F-FADD-DE45-9201-368F615C9C60}">
  <dimension ref="A1:K42"/>
  <sheetViews>
    <sheetView zoomScaleNormal="100" workbookViewId="0">
      <selection activeCell="F41" sqref="F41"/>
    </sheetView>
  </sheetViews>
  <sheetFormatPr baseColWidth="10" defaultRowHeight="16" x14ac:dyDescent="0.2"/>
  <cols>
    <col min="10" max="10" width="34.83203125" bestFit="1" customWidth="1"/>
    <col min="11" max="11" width="16.6640625" customWidth="1"/>
  </cols>
  <sheetData>
    <row r="1" spans="1:11" x14ac:dyDescent="0.2">
      <c r="A1" s="1" t="s">
        <v>0</v>
      </c>
      <c r="B1" s="1" t="s">
        <v>2</v>
      </c>
      <c r="C1" t="s">
        <v>109</v>
      </c>
      <c r="D1" s="1" t="s">
        <v>110</v>
      </c>
      <c r="E1" s="1" t="s">
        <v>167</v>
      </c>
      <c r="F1" s="1" t="s">
        <v>168</v>
      </c>
      <c r="G1" s="1" t="s">
        <v>169</v>
      </c>
      <c r="H1" s="1" t="s">
        <v>224</v>
      </c>
      <c r="I1" s="1" t="s">
        <v>225</v>
      </c>
      <c r="J1" s="1" t="s">
        <v>111</v>
      </c>
    </row>
    <row r="2" spans="1:11" x14ac:dyDescent="0.2">
      <c r="A2" s="1" t="s">
        <v>15</v>
      </c>
      <c r="B2" s="1">
        <v>0</v>
      </c>
      <c r="C2">
        <f>SUM(D2:I2)</f>
        <v>20</v>
      </c>
      <c r="D2">
        <v>0</v>
      </c>
      <c r="E2">
        <v>4</v>
      </c>
      <c r="F2">
        <v>7</v>
      </c>
      <c r="G2">
        <v>4</v>
      </c>
      <c r="H2">
        <v>3</v>
      </c>
      <c r="I2">
        <v>2</v>
      </c>
      <c r="J2" t="str">
        <f>_xlfn.CONCAT("Q1: ",E2,"/4. Q2: ",F2,"/7. Q3: ",G2,"/4. Q4: ",H2,"/3. Q5: ",I2,"/2.")</f>
        <v>Q1: 4/4. Q2: 7/7. Q3: 4/4. Q4: 3/3. Q5: 2/2.</v>
      </c>
    </row>
    <row r="3" spans="1:11" x14ac:dyDescent="0.2">
      <c r="A3" s="1" t="s">
        <v>17</v>
      </c>
      <c r="B3" s="1">
        <v>1370675</v>
      </c>
      <c r="C3">
        <f t="shared" ref="C3:C42" si="0">SUM(D3:I3)</f>
        <v>11.5</v>
      </c>
      <c r="E3">
        <v>4</v>
      </c>
      <c r="F3">
        <v>4.5</v>
      </c>
      <c r="G3">
        <v>2</v>
      </c>
      <c r="H3">
        <v>1</v>
      </c>
      <c r="I3">
        <v>0</v>
      </c>
      <c r="J3" t="str">
        <f t="shared" ref="J3:J24" si="1">_xlfn.CONCAT("Q1: ",E3,"/4. Q2: ",F3,"/7. Q3: ",G3,"/4. Q4: ",H3,"/3. Q5: ",I3,"/2.")</f>
        <v>Q1: 4/4. Q2: 4.5/7. Q3: 2/4. Q4: 1/3. Q5: 0/2.</v>
      </c>
      <c r="K3" t="s">
        <v>274</v>
      </c>
    </row>
    <row r="4" spans="1:11" x14ac:dyDescent="0.2">
      <c r="A4" s="1" t="s">
        <v>21</v>
      </c>
      <c r="B4" s="1">
        <v>995802</v>
      </c>
      <c r="C4">
        <f t="shared" si="0"/>
        <v>16.5</v>
      </c>
      <c r="E4">
        <v>4</v>
      </c>
      <c r="F4">
        <v>4</v>
      </c>
      <c r="G4">
        <v>3.5</v>
      </c>
      <c r="H4">
        <v>3</v>
      </c>
      <c r="I4">
        <v>2</v>
      </c>
      <c r="J4" t="str">
        <f t="shared" si="1"/>
        <v>Q1: 4/4. Q2: 4/7. Q3: 3.5/4. Q4: 3/3. Q5: 2/2.</v>
      </c>
      <c r="K4" t="s">
        <v>270</v>
      </c>
    </row>
    <row r="5" spans="1:11" x14ac:dyDescent="0.2">
      <c r="A5" s="1" t="s">
        <v>23</v>
      </c>
      <c r="B5" s="1">
        <v>1417057</v>
      </c>
      <c r="C5">
        <f t="shared" si="0"/>
        <v>19.5</v>
      </c>
      <c r="E5">
        <v>4</v>
      </c>
      <c r="F5">
        <v>7</v>
      </c>
      <c r="G5">
        <v>4</v>
      </c>
      <c r="H5">
        <v>3</v>
      </c>
      <c r="I5">
        <v>1.5</v>
      </c>
      <c r="J5" t="str">
        <f t="shared" si="1"/>
        <v>Q1: 4/4. Q2: 7/7. Q3: 4/4. Q4: 3/3. Q5: 1.5/2.</v>
      </c>
      <c r="K5" t="s">
        <v>275</v>
      </c>
    </row>
    <row r="6" spans="1:11" x14ac:dyDescent="0.2">
      <c r="A6" s="1" t="s">
        <v>25</v>
      </c>
      <c r="B6" s="1">
        <v>1374388</v>
      </c>
      <c r="C6">
        <f t="shared" si="0"/>
        <v>12.5</v>
      </c>
      <c r="E6">
        <v>4</v>
      </c>
      <c r="F6">
        <v>3</v>
      </c>
      <c r="G6">
        <v>3.5</v>
      </c>
      <c r="H6">
        <v>2</v>
      </c>
      <c r="I6">
        <v>0</v>
      </c>
      <c r="J6" t="str">
        <f t="shared" si="1"/>
        <v>Q1: 4/4. Q2: 3/7. Q3: 3.5/4. Q4: 2/3. Q5: 0/2.</v>
      </c>
      <c r="K6" t="s">
        <v>276</v>
      </c>
    </row>
    <row r="7" spans="1:11" x14ac:dyDescent="0.2">
      <c r="A7" s="1" t="s">
        <v>27</v>
      </c>
      <c r="B7" s="1">
        <v>1373562</v>
      </c>
      <c r="C7">
        <f t="shared" si="0"/>
        <v>18</v>
      </c>
      <c r="E7">
        <v>4</v>
      </c>
      <c r="F7">
        <v>5.5</v>
      </c>
      <c r="G7">
        <v>4</v>
      </c>
      <c r="H7">
        <v>3</v>
      </c>
      <c r="I7">
        <v>1.5</v>
      </c>
      <c r="J7" t="str">
        <f t="shared" si="1"/>
        <v>Q1: 4/4. Q2: 5.5/7. Q3: 4/4. Q4: 3/3. Q5: 1.5/2.</v>
      </c>
      <c r="K7" t="s">
        <v>277</v>
      </c>
    </row>
    <row r="8" spans="1:11" x14ac:dyDescent="0.2">
      <c r="A8" s="1" t="s">
        <v>29</v>
      </c>
      <c r="B8" s="1">
        <v>1443406</v>
      </c>
      <c r="C8">
        <f t="shared" si="0"/>
        <v>16</v>
      </c>
      <c r="E8">
        <v>3.5</v>
      </c>
      <c r="F8">
        <v>6</v>
      </c>
      <c r="G8">
        <v>3</v>
      </c>
      <c r="H8">
        <v>1.5</v>
      </c>
      <c r="I8">
        <v>2</v>
      </c>
      <c r="J8" t="str">
        <f t="shared" si="1"/>
        <v>Q1: 3.5/4. Q2: 6/7. Q3: 3/4. Q4: 1.5/3. Q5: 2/2.</v>
      </c>
      <c r="K8" t="s">
        <v>278</v>
      </c>
    </row>
    <row r="9" spans="1:11" x14ac:dyDescent="0.2">
      <c r="A9" s="1" t="s">
        <v>31</v>
      </c>
      <c r="B9" s="1">
        <v>1555968</v>
      </c>
      <c r="C9">
        <f t="shared" si="0"/>
        <v>19</v>
      </c>
      <c r="E9">
        <v>4</v>
      </c>
      <c r="F9">
        <v>7</v>
      </c>
      <c r="G9">
        <v>4</v>
      </c>
      <c r="H9">
        <v>2</v>
      </c>
      <c r="I9">
        <v>2</v>
      </c>
      <c r="J9" t="str">
        <f t="shared" si="1"/>
        <v>Q1: 4/4. Q2: 7/7. Q3: 4/4. Q4: 2/3. Q5: 2/2.</v>
      </c>
      <c r="K9" t="s">
        <v>279</v>
      </c>
    </row>
    <row r="10" spans="1:11" x14ac:dyDescent="0.2">
      <c r="A10" s="1" t="s">
        <v>33</v>
      </c>
      <c r="B10" s="1">
        <v>1436599</v>
      </c>
      <c r="C10">
        <f t="shared" si="0"/>
        <v>12.75</v>
      </c>
      <c r="E10">
        <v>3.5</v>
      </c>
      <c r="F10">
        <v>4.5</v>
      </c>
      <c r="G10">
        <v>2</v>
      </c>
      <c r="H10">
        <v>1.5</v>
      </c>
      <c r="I10">
        <v>1.25</v>
      </c>
      <c r="J10" t="str">
        <f t="shared" si="1"/>
        <v>Q1: 3.5/4. Q2: 4.5/7. Q3: 2/4. Q4: 1.5/3. Q5: 1.25/2.</v>
      </c>
      <c r="K10" t="s">
        <v>280</v>
      </c>
    </row>
    <row r="11" spans="1:11" x14ac:dyDescent="0.2">
      <c r="A11" s="1" t="s">
        <v>35</v>
      </c>
      <c r="B11" s="1">
        <v>1072476</v>
      </c>
      <c r="C11">
        <f t="shared" si="0"/>
        <v>20</v>
      </c>
      <c r="E11">
        <v>4</v>
      </c>
      <c r="F11">
        <v>7</v>
      </c>
      <c r="G11">
        <v>4</v>
      </c>
      <c r="H11">
        <v>3</v>
      </c>
      <c r="I11">
        <v>2</v>
      </c>
      <c r="J11" t="str">
        <f t="shared" si="1"/>
        <v>Q1: 4/4. Q2: 7/7. Q3: 4/4. Q4: 3/3. Q5: 2/2.</v>
      </c>
    </row>
    <row r="12" spans="1:11" x14ac:dyDescent="0.2">
      <c r="A12" s="1" t="s">
        <v>37</v>
      </c>
      <c r="B12" s="1">
        <v>1316006</v>
      </c>
      <c r="C12">
        <f t="shared" si="0"/>
        <v>17</v>
      </c>
      <c r="E12">
        <v>4</v>
      </c>
      <c r="F12">
        <v>5.5</v>
      </c>
      <c r="G12">
        <v>2.5</v>
      </c>
      <c r="H12">
        <v>3</v>
      </c>
      <c r="I12">
        <v>2</v>
      </c>
      <c r="J12" t="str">
        <f t="shared" si="1"/>
        <v>Q1: 4/4. Q2: 5.5/7. Q3: 2.5/4. Q4: 3/3. Q5: 2/2.</v>
      </c>
      <c r="K12" t="s">
        <v>271</v>
      </c>
    </row>
    <row r="13" spans="1:11" x14ac:dyDescent="0.2">
      <c r="A13" s="1" t="s">
        <v>39</v>
      </c>
      <c r="B13" s="1">
        <v>650596</v>
      </c>
      <c r="C13">
        <f t="shared" si="0"/>
        <v>13</v>
      </c>
      <c r="E13">
        <v>3.5</v>
      </c>
      <c r="F13">
        <v>5</v>
      </c>
      <c r="G13">
        <v>0</v>
      </c>
      <c r="H13">
        <v>3</v>
      </c>
      <c r="I13">
        <v>1.5</v>
      </c>
      <c r="J13" t="str">
        <f t="shared" si="1"/>
        <v>Q1: 3.5/4. Q2: 5/7. Q3: 0/4. Q4: 3/3. Q5: 1.5/2.</v>
      </c>
      <c r="K13" t="s">
        <v>281</v>
      </c>
    </row>
    <row r="14" spans="1:11" x14ac:dyDescent="0.2">
      <c r="A14" s="1" t="s">
        <v>41</v>
      </c>
      <c r="B14" s="1">
        <v>1063490</v>
      </c>
      <c r="C14">
        <f t="shared" si="0"/>
        <v>11.5</v>
      </c>
      <c r="E14">
        <v>3.5</v>
      </c>
      <c r="F14">
        <v>4.5</v>
      </c>
      <c r="G14">
        <v>2.5</v>
      </c>
      <c r="H14">
        <v>0</v>
      </c>
      <c r="I14">
        <v>1</v>
      </c>
      <c r="J14" t="str">
        <f t="shared" si="1"/>
        <v>Q1: 3.5/4. Q2: 4.5/7. Q3: 2.5/4. Q4: 0/3. Q5: 1/2.</v>
      </c>
      <c r="K14" t="s">
        <v>282</v>
      </c>
    </row>
    <row r="15" spans="1:11" x14ac:dyDescent="0.2">
      <c r="A15" s="1" t="s">
        <v>43</v>
      </c>
      <c r="B15" s="1">
        <v>1502683</v>
      </c>
      <c r="C15">
        <f t="shared" si="0"/>
        <v>14</v>
      </c>
      <c r="E15">
        <v>3.5</v>
      </c>
      <c r="F15">
        <v>4</v>
      </c>
      <c r="G15">
        <v>4</v>
      </c>
      <c r="H15">
        <v>1</v>
      </c>
      <c r="I15">
        <v>1.5</v>
      </c>
      <c r="J15" t="str">
        <f>_xlfn.CONCAT("Q1: ",E15,"/4. Q2: ",F15,"/7. Q3: ",G15,"/4. Q4: ",H15,"/3. Q5: ",I15,"/2.")</f>
        <v>Q1: 3.5/4. Q2: 4/7. Q3: 4/4. Q4: 1/3. Q5: 1.5/2.</v>
      </c>
      <c r="K15" t="s">
        <v>283</v>
      </c>
    </row>
    <row r="16" spans="1:11" x14ac:dyDescent="0.2">
      <c r="A16" s="1" t="s">
        <v>45</v>
      </c>
      <c r="B16" s="1">
        <v>884343</v>
      </c>
      <c r="C16">
        <f t="shared" si="0"/>
        <v>17.25</v>
      </c>
      <c r="E16">
        <v>3.5</v>
      </c>
      <c r="F16">
        <v>7</v>
      </c>
      <c r="G16">
        <v>3</v>
      </c>
      <c r="H16">
        <v>2.5</v>
      </c>
      <c r="I16">
        <v>1.25</v>
      </c>
      <c r="J16" t="str">
        <f t="shared" si="1"/>
        <v>Q1: 3.5/4. Q2: 7/7. Q3: 3/4. Q4: 2.5/3. Q5: 1.25/2.</v>
      </c>
      <c r="K16" t="s">
        <v>284</v>
      </c>
    </row>
    <row r="17" spans="1:11" x14ac:dyDescent="0.2">
      <c r="A17" s="1" t="s">
        <v>47</v>
      </c>
      <c r="B17" s="1">
        <v>1510683</v>
      </c>
      <c r="C17">
        <f t="shared" si="0"/>
        <v>15.75</v>
      </c>
      <c r="E17">
        <v>4</v>
      </c>
      <c r="F17">
        <v>5</v>
      </c>
      <c r="G17">
        <v>4</v>
      </c>
      <c r="H17">
        <v>1.5</v>
      </c>
      <c r="I17">
        <v>1.25</v>
      </c>
      <c r="J17" t="str">
        <f t="shared" si="1"/>
        <v>Q1: 4/4. Q2: 5/7. Q3: 4/4. Q4: 1.5/3. Q5: 1.25/2.</v>
      </c>
      <c r="K17" t="s">
        <v>285</v>
      </c>
    </row>
    <row r="18" spans="1:11" x14ac:dyDescent="0.2">
      <c r="A18" s="1" t="s">
        <v>49</v>
      </c>
      <c r="B18" s="1">
        <v>1074491</v>
      </c>
      <c r="C18">
        <f t="shared" si="0"/>
        <v>13.5</v>
      </c>
      <c r="E18">
        <v>4</v>
      </c>
      <c r="F18">
        <v>4.5</v>
      </c>
      <c r="G18">
        <v>2</v>
      </c>
      <c r="H18">
        <v>1.5</v>
      </c>
      <c r="I18">
        <v>1.5</v>
      </c>
      <c r="J18" t="str">
        <f>_xlfn.CONCAT("Q1: ",E18,"/4. Q2: ",F18,"/7. Q3: ",G18,"/4. Q4: ",H18,"/3. Q5: ",I18,"/2.")</f>
        <v>Q1: 4/4. Q2: 4.5/7. Q3: 2/4. Q4: 1.5/3. Q5: 1.5/2.</v>
      </c>
      <c r="K18" t="s">
        <v>286</v>
      </c>
    </row>
    <row r="19" spans="1:11" x14ac:dyDescent="0.2">
      <c r="A19" s="1" t="s">
        <v>51</v>
      </c>
      <c r="B19" s="1">
        <v>1495622</v>
      </c>
      <c r="C19">
        <f t="shared" si="0"/>
        <v>12.75</v>
      </c>
      <c r="E19">
        <v>1</v>
      </c>
      <c r="F19">
        <v>5</v>
      </c>
      <c r="G19">
        <v>3</v>
      </c>
      <c r="H19">
        <v>2.5</v>
      </c>
      <c r="I19">
        <v>1.25</v>
      </c>
      <c r="J19" t="str">
        <f t="shared" si="1"/>
        <v>Q1: 1/4. Q2: 5/7. Q3: 3/4. Q4: 2.5/3. Q5: 1.25/2.</v>
      </c>
      <c r="K19" t="s">
        <v>287</v>
      </c>
    </row>
    <row r="20" spans="1:11" x14ac:dyDescent="0.2">
      <c r="A20" s="1" t="s">
        <v>53</v>
      </c>
      <c r="B20" s="1">
        <v>992893</v>
      </c>
      <c r="C20">
        <f t="shared" si="0"/>
        <v>14.25</v>
      </c>
      <c r="E20">
        <v>3.5</v>
      </c>
      <c r="F20">
        <v>5.5</v>
      </c>
      <c r="G20">
        <v>4</v>
      </c>
      <c r="H20">
        <v>0</v>
      </c>
      <c r="I20">
        <v>1.25</v>
      </c>
      <c r="J20" t="str">
        <f t="shared" si="1"/>
        <v>Q1: 3.5/4. Q2: 5.5/7. Q3: 4/4. Q4: 0/3. Q5: 1.25/2.</v>
      </c>
      <c r="K20" t="s">
        <v>288</v>
      </c>
    </row>
    <row r="21" spans="1:11" x14ac:dyDescent="0.2">
      <c r="A21" s="1" t="s">
        <v>55</v>
      </c>
      <c r="B21" s="1">
        <v>1181978</v>
      </c>
      <c r="C21">
        <f t="shared" si="0"/>
        <v>19</v>
      </c>
      <c r="E21">
        <v>4</v>
      </c>
      <c r="F21">
        <v>7</v>
      </c>
      <c r="G21">
        <v>4</v>
      </c>
      <c r="H21">
        <v>2</v>
      </c>
      <c r="I21">
        <v>2</v>
      </c>
      <c r="J21" t="str">
        <f t="shared" si="1"/>
        <v>Q1: 4/4. Q2: 7/7. Q3: 4/4. Q4: 2/3. Q5: 2/2.</v>
      </c>
      <c r="K21" t="s">
        <v>289</v>
      </c>
    </row>
    <row r="22" spans="1:11" x14ac:dyDescent="0.2">
      <c r="A22" s="1" t="s">
        <v>57</v>
      </c>
      <c r="B22" s="1">
        <v>1051214</v>
      </c>
      <c r="C22">
        <f t="shared" si="0"/>
        <v>18.75</v>
      </c>
      <c r="E22">
        <v>4</v>
      </c>
      <c r="F22">
        <v>6.5</v>
      </c>
      <c r="G22">
        <v>4</v>
      </c>
      <c r="H22">
        <v>3</v>
      </c>
      <c r="I22">
        <v>1.25</v>
      </c>
      <c r="J22" t="str">
        <f t="shared" si="1"/>
        <v>Q1: 4/4. Q2: 6.5/7. Q3: 4/4. Q4: 3/3. Q5: 1.25/2.</v>
      </c>
      <c r="K22" t="s">
        <v>290</v>
      </c>
    </row>
    <row r="23" spans="1:11" hidden="1" x14ac:dyDescent="0.2">
      <c r="A23" s="1" t="s">
        <v>59</v>
      </c>
      <c r="B23" s="1" t="s">
        <v>60</v>
      </c>
      <c r="C23">
        <f t="shared" si="0"/>
        <v>0</v>
      </c>
      <c r="J23" t="str">
        <f t="shared" si="1"/>
        <v>Q1: /4. Q2: /7. Q3: /4. Q4: /3. Q5: /2.</v>
      </c>
    </row>
    <row r="24" spans="1:11" hidden="1" x14ac:dyDescent="0.2">
      <c r="A24" s="1" t="s">
        <v>62</v>
      </c>
      <c r="B24" s="1" t="s">
        <v>63</v>
      </c>
      <c r="C24">
        <f t="shared" si="0"/>
        <v>0</v>
      </c>
      <c r="J24" t="str">
        <f t="shared" si="1"/>
        <v>Q1: /4. Q2: /7. Q3: /4. Q4: /3. Q5: /2.</v>
      </c>
    </row>
    <row r="25" spans="1:11" x14ac:dyDescent="0.2">
      <c r="A25" s="1" t="s">
        <v>64</v>
      </c>
      <c r="B25" s="1">
        <v>1549443</v>
      </c>
      <c r="C25">
        <f>SUM(D25:I25)</f>
        <v>13</v>
      </c>
      <c r="E25">
        <v>2.5</v>
      </c>
      <c r="F25">
        <v>4</v>
      </c>
      <c r="G25">
        <v>3</v>
      </c>
      <c r="H25">
        <v>2.5</v>
      </c>
      <c r="I25">
        <v>1</v>
      </c>
      <c r="J25" t="str">
        <f t="shared" ref="J25:J42" si="2">_xlfn.CONCAT("Q1: ",E25,"/4. Q2: ",F25,"/7. Q3: ",G25,"/4. Q4: ",H25,"/3. Q5: ",I25,"/2.")</f>
        <v>Q1: 2.5/4. Q2: 4/7. Q3: 3/4. Q4: 2.5/3. Q5: 1/2.</v>
      </c>
      <c r="K25" t="s">
        <v>291</v>
      </c>
    </row>
    <row r="26" spans="1:11" x14ac:dyDescent="0.2">
      <c r="A26" s="1" t="s">
        <v>66</v>
      </c>
      <c r="B26" s="1">
        <v>1510033</v>
      </c>
      <c r="C26">
        <f t="shared" si="0"/>
        <v>6.5</v>
      </c>
      <c r="E26">
        <v>1</v>
      </c>
      <c r="F26">
        <v>2</v>
      </c>
      <c r="G26">
        <v>2</v>
      </c>
      <c r="H26">
        <v>1</v>
      </c>
      <c r="I26">
        <v>0.5</v>
      </c>
      <c r="J26" t="str">
        <f t="shared" si="2"/>
        <v>Q1: 1/4. Q2: 2/7. Q3: 2/4. Q4: 1/3. Q5: 0.5/2.</v>
      </c>
      <c r="K26" t="s">
        <v>292</v>
      </c>
    </row>
    <row r="27" spans="1:11" x14ac:dyDescent="0.2">
      <c r="A27" s="1" t="s">
        <v>68</v>
      </c>
      <c r="B27" s="1">
        <v>1168383</v>
      </c>
      <c r="C27">
        <f t="shared" si="0"/>
        <v>17.25</v>
      </c>
      <c r="E27">
        <v>4</v>
      </c>
      <c r="F27">
        <v>7</v>
      </c>
      <c r="G27">
        <v>3.5</v>
      </c>
      <c r="H27">
        <v>1</v>
      </c>
      <c r="I27">
        <v>1.75</v>
      </c>
      <c r="J27" t="str">
        <f t="shared" si="2"/>
        <v>Q1: 4/4. Q2: 7/7. Q3: 3.5/4. Q4: 1/3. Q5: 1.75/2.</v>
      </c>
      <c r="K27" t="s">
        <v>293</v>
      </c>
    </row>
    <row r="28" spans="1:11" x14ac:dyDescent="0.2">
      <c r="A28" s="1" t="s">
        <v>70</v>
      </c>
      <c r="B28" s="1">
        <v>1436936</v>
      </c>
      <c r="C28">
        <f t="shared" si="0"/>
        <v>15</v>
      </c>
      <c r="E28">
        <v>4</v>
      </c>
      <c r="F28">
        <v>5</v>
      </c>
      <c r="G28">
        <v>2</v>
      </c>
      <c r="H28">
        <v>2</v>
      </c>
      <c r="I28">
        <v>2</v>
      </c>
      <c r="J28" t="str">
        <f t="shared" si="2"/>
        <v>Q1: 4/4. Q2: 5/7. Q3: 2/4. Q4: 2/3. Q5: 2/2.</v>
      </c>
      <c r="K28" t="s">
        <v>294</v>
      </c>
    </row>
    <row r="29" spans="1:11" x14ac:dyDescent="0.2">
      <c r="A29" s="1" t="s">
        <v>72</v>
      </c>
      <c r="B29" s="1">
        <v>1322753</v>
      </c>
      <c r="C29">
        <f t="shared" si="0"/>
        <v>14.75</v>
      </c>
      <c r="E29">
        <v>4</v>
      </c>
      <c r="F29">
        <v>6</v>
      </c>
      <c r="G29">
        <v>3</v>
      </c>
      <c r="H29">
        <v>1</v>
      </c>
      <c r="I29">
        <v>0.75</v>
      </c>
      <c r="J29" t="str">
        <f t="shared" si="2"/>
        <v>Q1: 4/4. Q2: 6/7. Q3: 3/4. Q4: 1/3. Q5: 0.75/2.</v>
      </c>
      <c r="K29" t="s">
        <v>295</v>
      </c>
    </row>
    <row r="30" spans="1:11" x14ac:dyDescent="0.2">
      <c r="A30" s="1" t="s">
        <v>74</v>
      </c>
      <c r="B30" s="1">
        <v>1474916</v>
      </c>
      <c r="C30">
        <f t="shared" si="0"/>
        <v>16.5</v>
      </c>
      <c r="E30">
        <v>3.5</v>
      </c>
      <c r="F30">
        <v>6</v>
      </c>
      <c r="G30">
        <v>2.5</v>
      </c>
      <c r="H30">
        <v>3</v>
      </c>
      <c r="I30">
        <v>1.5</v>
      </c>
      <c r="J30" t="str">
        <f t="shared" si="2"/>
        <v>Q1: 3.5/4. Q2: 6/7. Q3: 2.5/4. Q4: 3/3. Q5: 1.5/2.</v>
      </c>
      <c r="K30" t="s">
        <v>296</v>
      </c>
    </row>
    <row r="31" spans="1:11" x14ac:dyDescent="0.2">
      <c r="A31" s="1" t="s">
        <v>76</v>
      </c>
      <c r="B31" s="1">
        <v>1036484</v>
      </c>
      <c r="C31">
        <f t="shared" si="0"/>
        <v>19.5</v>
      </c>
      <c r="E31">
        <v>4</v>
      </c>
      <c r="F31">
        <v>7</v>
      </c>
      <c r="G31">
        <v>4</v>
      </c>
      <c r="H31">
        <v>3</v>
      </c>
      <c r="I31">
        <v>1.5</v>
      </c>
      <c r="J31" t="str">
        <f t="shared" si="2"/>
        <v>Q1: 4/4. Q2: 7/7. Q3: 4/4. Q4: 3/3. Q5: 1.5/2.</v>
      </c>
      <c r="K31" t="s">
        <v>275</v>
      </c>
    </row>
    <row r="32" spans="1:11" x14ac:dyDescent="0.2">
      <c r="A32" s="1" t="s">
        <v>78</v>
      </c>
      <c r="B32" s="1">
        <v>1349379</v>
      </c>
      <c r="C32">
        <f t="shared" si="0"/>
        <v>16.5</v>
      </c>
      <c r="E32">
        <v>3.5</v>
      </c>
      <c r="F32">
        <v>5.5</v>
      </c>
      <c r="G32">
        <v>4</v>
      </c>
      <c r="H32">
        <v>3</v>
      </c>
      <c r="I32">
        <v>0.5</v>
      </c>
      <c r="J32" t="str">
        <f t="shared" si="2"/>
        <v>Q1: 3.5/4. Q2: 5.5/7. Q3: 4/4. Q4: 3/3. Q5: 0.5/2.</v>
      </c>
      <c r="K32" t="s">
        <v>297</v>
      </c>
    </row>
    <row r="33" spans="1:11" x14ac:dyDescent="0.2">
      <c r="A33" s="1" t="s">
        <v>80</v>
      </c>
      <c r="B33" s="1">
        <v>1464811</v>
      </c>
      <c r="C33">
        <f t="shared" si="0"/>
        <v>19.5</v>
      </c>
      <c r="E33">
        <v>4</v>
      </c>
      <c r="F33">
        <v>6.5</v>
      </c>
      <c r="G33">
        <v>4</v>
      </c>
      <c r="H33">
        <v>3</v>
      </c>
      <c r="I33">
        <v>2</v>
      </c>
      <c r="J33" t="str">
        <f t="shared" si="2"/>
        <v>Q1: 4/4. Q2: 6.5/7. Q3: 4/4. Q4: 3/3. Q5: 2/2.</v>
      </c>
      <c r="K33" t="s">
        <v>269</v>
      </c>
    </row>
    <row r="34" spans="1:11" x14ac:dyDescent="0.2">
      <c r="A34" s="1" t="s">
        <v>82</v>
      </c>
      <c r="B34" s="1">
        <v>1177465</v>
      </c>
      <c r="C34">
        <f t="shared" si="0"/>
        <v>16</v>
      </c>
      <c r="E34">
        <v>3.5</v>
      </c>
      <c r="F34">
        <v>5.5</v>
      </c>
      <c r="G34">
        <v>3</v>
      </c>
      <c r="H34">
        <v>2.5</v>
      </c>
      <c r="I34">
        <v>1.5</v>
      </c>
      <c r="J34" t="str">
        <f t="shared" si="2"/>
        <v>Q1: 3.5/4. Q2: 5.5/7. Q3: 3/4. Q4: 2.5/3. Q5: 1.5/2.</v>
      </c>
      <c r="K34" t="s">
        <v>298</v>
      </c>
    </row>
    <row r="35" spans="1:11" x14ac:dyDescent="0.2">
      <c r="A35" s="1" t="s">
        <v>84</v>
      </c>
      <c r="B35" s="1">
        <v>1086178</v>
      </c>
      <c r="C35">
        <f t="shared" si="0"/>
        <v>20</v>
      </c>
      <c r="E35">
        <v>4</v>
      </c>
      <c r="F35">
        <v>7</v>
      </c>
      <c r="G35">
        <v>4</v>
      </c>
      <c r="H35">
        <v>3</v>
      </c>
      <c r="I35">
        <v>2</v>
      </c>
      <c r="J35" t="str">
        <f t="shared" si="2"/>
        <v>Q1: 4/4. Q2: 7/7. Q3: 4/4. Q4: 3/3. Q5: 2/2.</v>
      </c>
    </row>
    <row r="36" spans="1:11" x14ac:dyDescent="0.2">
      <c r="A36" s="1" t="s">
        <v>86</v>
      </c>
      <c r="B36" s="1">
        <v>1533296</v>
      </c>
      <c r="C36">
        <f t="shared" si="0"/>
        <v>8.75</v>
      </c>
      <c r="E36">
        <v>1</v>
      </c>
      <c r="F36">
        <v>3</v>
      </c>
      <c r="G36">
        <v>2.5</v>
      </c>
      <c r="H36">
        <v>1</v>
      </c>
      <c r="I36">
        <v>1.25</v>
      </c>
      <c r="J36" t="str">
        <f t="shared" si="2"/>
        <v>Q1: 1/4. Q2: 3/7. Q3: 2.5/4. Q4: 1/3. Q5: 1.25/2.</v>
      </c>
      <c r="K36" t="s">
        <v>299</v>
      </c>
    </row>
    <row r="37" spans="1:11" x14ac:dyDescent="0.2">
      <c r="A37" s="1" t="s">
        <v>88</v>
      </c>
      <c r="B37" s="1">
        <v>979356</v>
      </c>
      <c r="C37">
        <f t="shared" si="0"/>
        <v>20</v>
      </c>
      <c r="E37">
        <v>4</v>
      </c>
      <c r="F37">
        <v>7</v>
      </c>
      <c r="G37">
        <v>4</v>
      </c>
      <c r="H37">
        <v>3</v>
      </c>
      <c r="I37">
        <v>2</v>
      </c>
      <c r="J37" t="str">
        <f t="shared" si="2"/>
        <v>Q1: 4/4. Q2: 7/7. Q3: 4/4. Q4: 3/3. Q5: 2/2.</v>
      </c>
    </row>
    <row r="38" spans="1:11" x14ac:dyDescent="0.2">
      <c r="A38" s="1" t="s">
        <v>90</v>
      </c>
      <c r="B38" s="1">
        <v>1494354</v>
      </c>
      <c r="C38">
        <f t="shared" si="0"/>
        <v>14.75</v>
      </c>
      <c r="E38">
        <v>3.5</v>
      </c>
      <c r="F38">
        <v>5</v>
      </c>
      <c r="G38">
        <v>2</v>
      </c>
      <c r="H38">
        <v>3</v>
      </c>
      <c r="I38">
        <v>1.25</v>
      </c>
      <c r="J38" t="str">
        <f t="shared" si="2"/>
        <v>Q1: 3.5/4. Q2: 5/7. Q3: 2/4. Q4: 3/3. Q5: 1.25/2.</v>
      </c>
      <c r="K38" t="s">
        <v>300</v>
      </c>
    </row>
    <row r="39" spans="1:11" x14ac:dyDescent="0.2">
      <c r="A39" s="1" t="s">
        <v>92</v>
      </c>
      <c r="B39" s="1">
        <v>1437784</v>
      </c>
      <c r="C39">
        <f t="shared" si="0"/>
        <v>14.75</v>
      </c>
      <c r="E39">
        <v>3</v>
      </c>
      <c r="F39">
        <v>5.5</v>
      </c>
      <c r="G39">
        <v>2.5</v>
      </c>
      <c r="H39">
        <v>2.5</v>
      </c>
      <c r="I39">
        <v>1.25</v>
      </c>
      <c r="J39" t="str">
        <f t="shared" si="2"/>
        <v>Q1: 3/4. Q2: 5.5/7. Q3: 2.5/4. Q4: 2.5/3. Q5: 1.25/2.</v>
      </c>
      <c r="K39" t="s">
        <v>301</v>
      </c>
    </row>
    <row r="40" spans="1:11" x14ac:dyDescent="0.2">
      <c r="A40" s="1" t="s">
        <v>94</v>
      </c>
      <c r="B40" s="1">
        <v>1580719</v>
      </c>
      <c r="C40">
        <f t="shared" si="0"/>
        <v>18.5</v>
      </c>
      <c r="E40">
        <v>4</v>
      </c>
      <c r="F40">
        <v>7</v>
      </c>
      <c r="G40">
        <v>2.5</v>
      </c>
      <c r="H40">
        <v>3</v>
      </c>
      <c r="I40">
        <v>2</v>
      </c>
      <c r="J40" t="str">
        <f t="shared" si="2"/>
        <v>Q1: 4/4. Q2: 7/7. Q3: 2.5/4. Q4: 3/3. Q5: 2/2.</v>
      </c>
      <c r="K40" t="s">
        <v>272</v>
      </c>
    </row>
    <row r="41" spans="1:11" x14ac:dyDescent="0.2">
      <c r="A41" s="1" t="s">
        <v>96</v>
      </c>
      <c r="B41" s="1">
        <v>1270455</v>
      </c>
      <c r="C41">
        <f t="shared" si="0"/>
        <v>19</v>
      </c>
      <c r="E41">
        <v>4</v>
      </c>
      <c r="F41">
        <v>6.5</v>
      </c>
      <c r="G41">
        <v>3.5</v>
      </c>
      <c r="H41">
        <v>3</v>
      </c>
      <c r="I41">
        <v>2</v>
      </c>
      <c r="J41" t="str">
        <f t="shared" si="2"/>
        <v>Q1: 4/4. Q2: 6.5/7. Q3: 3.5/4. Q4: 3/3. Q5: 2/2.</v>
      </c>
      <c r="K41" t="s">
        <v>273</v>
      </c>
    </row>
    <row r="42" spans="1:11" x14ac:dyDescent="0.2">
      <c r="A42" s="1" t="s">
        <v>98</v>
      </c>
      <c r="B42" s="1">
        <v>1442961</v>
      </c>
      <c r="C42">
        <f t="shared" si="0"/>
        <v>19.5</v>
      </c>
      <c r="E42">
        <v>4</v>
      </c>
      <c r="F42">
        <v>7</v>
      </c>
      <c r="G42">
        <v>4</v>
      </c>
      <c r="H42">
        <v>3</v>
      </c>
      <c r="I42">
        <v>1.5</v>
      </c>
      <c r="J42" t="str">
        <f t="shared" si="2"/>
        <v>Q1: 4/4. Q2: 7/7. Q3: 4/4. Q4: 3/3. Q5: 1.5/2.</v>
      </c>
      <c r="K42" t="s">
        <v>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0D46-CF14-3747-8F36-DDE43E3EB31B}">
  <dimension ref="A1:M42"/>
  <sheetViews>
    <sheetView zoomScaleNormal="100" workbookViewId="0">
      <selection activeCell="F41" sqref="F41"/>
    </sheetView>
  </sheetViews>
  <sheetFormatPr baseColWidth="10" defaultRowHeight="16" x14ac:dyDescent="0.2"/>
  <cols>
    <col min="9" max="9" width="28" bestFit="1" customWidth="1"/>
    <col min="10" max="10" width="12.1640625" customWidth="1"/>
  </cols>
  <sheetData>
    <row r="1" spans="1:12" x14ac:dyDescent="0.2">
      <c r="A1" s="1" t="s">
        <v>0</v>
      </c>
      <c r="B1" s="1" t="s">
        <v>2</v>
      </c>
      <c r="C1" t="s">
        <v>109</v>
      </c>
      <c r="D1" s="1" t="s">
        <v>110</v>
      </c>
      <c r="E1" s="1" t="s">
        <v>167</v>
      </c>
      <c r="F1" s="1" t="s">
        <v>168</v>
      </c>
      <c r="G1" s="1" t="s">
        <v>169</v>
      </c>
      <c r="H1" s="1" t="s">
        <v>224</v>
      </c>
      <c r="I1" s="1" t="s">
        <v>111</v>
      </c>
    </row>
    <row r="2" spans="1:12" x14ac:dyDescent="0.2">
      <c r="A2" s="1" t="s">
        <v>15</v>
      </c>
      <c r="B2" s="1">
        <v>0</v>
      </c>
      <c r="C2">
        <f>SUM(D2:H2)</f>
        <v>20</v>
      </c>
      <c r="D2">
        <v>0</v>
      </c>
      <c r="E2">
        <v>7</v>
      </c>
      <c r="F2">
        <v>7</v>
      </c>
      <c r="G2">
        <v>3</v>
      </c>
      <c r="H2">
        <v>3</v>
      </c>
      <c r="I2" t="str">
        <f>_xlfn.CONCAT("Q1: ",E2,"/7. Q2: ",F2,"/7. Q3: ",G2,"/3. Q4: ",H2,"/3.")</f>
        <v>Q1: 7/7. Q2: 7/7. Q3: 3/3. Q4: 3/3.</v>
      </c>
    </row>
    <row r="3" spans="1:12" x14ac:dyDescent="0.2">
      <c r="A3" s="1" t="s">
        <v>17</v>
      </c>
      <c r="B3" s="1">
        <v>1370675</v>
      </c>
      <c r="C3">
        <f t="shared" ref="C3:C42" si="0">SUM(D3:H3)</f>
        <v>15</v>
      </c>
      <c r="E3">
        <v>7</v>
      </c>
      <c r="F3">
        <v>5</v>
      </c>
      <c r="G3">
        <v>1.5</v>
      </c>
      <c r="H3">
        <v>1.5</v>
      </c>
      <c r="I3" t="str">
        <f t="shared" ref="I3:I42" si="1">_xlfn.CONCAT("Q1: ",E3,"/7. Q2: ",F3,"/7. Q3: ",G3,"/3. Q4: ",H3,"/3.")</f>
        <v>Q1: 7/7. Q2: 5/7. Q3: 1.5/3. Q4: 1.5/3.</v>
      </c>
      <c r="J3" t="s">
        <v>324</v>
      </c>
    </row>
    <row r="4" spans="1:12" x14ac:dyDescent="0.2">
      <c r="A4" s="1" t="s">
        <v>21</v>
      </c>
      <c r="B4" s="1">
        <v>995802</v>
      </c>
      <c r="C4">
        <f t="shared" si="0"/>
        <v>19</v>
      </c>
      <c r="E4">
        <v>7</v>
      </c>
      <c r="F4">
        <v>6.5</v>
      </c>
      <c r="G4">
        <v>3</v>
      </c>
      <c r="H4">
        <v>2.5</v>
      </c>
      <c r="I4" t="str">
        <f t="shared" si="1"/>
        <v>Q1: 7/7. Q2: 6.5/7. Q3: 3/3. Q4: 2.5/3.</v>
      </c>
      <c r="J4" t="s">
        <v>325</v>
      </c>
    </row>
    <row r="5" spans="1:12" x14ac:dyDescent="0.2">
      <c r="A5" s="1" t="s">
        <v>23</v>
      </c>
      <c r="B5" s="1">
        <v>1417057</v>
      </c>
      <c r="C5">
        <f t="shared" si="0"/>
        <v>19.5</v>
      </c>
      <c r="E5">
        <v>7</v>
      </c>
      <c r="F5">
        <v>7</v>
      </c>
      <c r="G5">
        <v>2.5</v>
      </c>
      <c r="H5">
        <v>3</v>
      </c>
      <c r="I5" t="str">
        <f t="shared" si="1"/>
        <v>Q1: 7/7. Q2: 7/7. Q3: 2.5/3. Q4: 3/3.</v>
      </c>
      <c r="J5" t="s">
        <v>321</v>
      </c>
    </row>
    <row r="6" spans="1:12" x14ac:dyDescent="0.2">
      <c r="A6" s="1" t="s">
        <v>25</v>
      </c>
      <c r="B6" s="1">
        <v>1374388</v>
      </c>
      <c r="C6">
        <f t="shared" si="0"/>
        <v>15</v>
      </c>
      <c r="E6">
        <v>5.5</v>
      </c>
      <c r="F6">
        <v>6</v>
      </c>
      <c r="G6">
        <v>2.5</v>
      </c>
      <c r="H6">
        <v>1</v>
      </c>
      <c r="I6" t="str">
        <f t="shared" si="1"/>
        <v>Q1: 5.5/7. Q2: 6/7. Q3: 2.5/3. Q4: 1/3.</v>
      </c>
      <c r="J6" t="s">
        <v>326</v>
      </c>
    </row>
    <row r="7" spans="1:12" x14ac:dyDescent="0.2">
      <c r="A7" s="1" t="s">
        <v>27</v>
      </c>
      <c r="B7" s="1">
        <v>1373562</v>
      </c>
      <c r="C7">
        <f t="shared" si="0"/>
        <v>19.5</v>
      </c>
      <c r="E7">
        <v>7</v>
      </c>
      <c r="F7">
        <v>7</v>
      </c>
      <c r="G7">
        <v>2.5</v>
      </c>
      <c r="H7">
        <v>3</v>
      </c>
      <c r="I7" t="str">
        <f t="shared" si="1"/>
        <v>Q1: 7/7. Q2: 7/7. Q3: 2.5/3. Q4: 3/3.</v>
      </c>
      <c r="J7" t="s">
        <v>321</v>
      </c>
    </row>
    <row r="8" spans="1:12" x14ac:dyDescent="0.2">
      <c r="A8" s="1" t="s">
        <v>29</v>
      </c>
      <c r="B8" s="1">
        <v>1443406</v>
      </c>
      <c r="C8">
        <f t="shared" si="0"/>
        <v>18</v>
      </c>
      <c r="E8">
        <v>7</v>
      </c>
      <c r="F8">
        <v>6.5</v>
      </c>
      <c r="G8">
        <v>2.5</v>
      </c>
      <c r="H8">
        <v>2</v>
      </c>
      <c r="I8" t="str">
        <f t="shared" si="1"/>
        <v>Q1: 7/7. Q2: 6.5/7. Q3: 2.5/3. Q4: 2/3.</v>
      </c>
      <c r="J8" t="s">
        <v>327</v>
      </c>
      <c r="L8" s="1"/>
    </row>
    <row r="9" spans="1:12" x14ac:dyDescent="0.2">
      <c r="A9" s="1" t="s">
        <v>31</v>
      </c>
      <c r="B9" s="1">
        <v>1555968</v>
      </c>
      <c r="C9">
        <f t="shared" si="0"/>
        <v>17</v>
      </c>
      <c r="E9">
        <v>6.5</v>
      </c>
      <c r="F9">
        <v>6</v>
      </c>
      <c r="G9">
        <v>3</v>
      </c>
      <c r="H9">
        <v>1.5</v>
      </c>
      <c r="I9" t="str">
        <f t="shared" si="1"/>
        <v>Q1: 6.5/7. Q2: 6/7. Q3: 3/3. Q4: 1.5/3.</v>
      </c>
      <c r="J9" t="s">
        <v>328</v>
      </c>
    </row>
    <row r="10" spans="1:12" x14ac:dyDescent="0.2">
      <c r="A10" s="1" t="s">
        <v>33</v>
      </c>
      <c r="B10" s="1">
        <v>1436599</v>
      </c>
      <c r="C10">
        <f t="shared" si="0"/>
        <v>17</v>
      </c>
      <c r="E10">
        <v>7</v>
      </c>
      <c r="F10">
        <v>6</v>
      </c>
      <c r="G10">
        <v>2</v>
      </c>
      <c r="H10">
        <v>2</v>
      </c>
      <c r="I10" t="str">
        <f t="shared" si="1"/>
        <v>Q1: 7/7. Q2: 6/7. Q3: 2/3. Q4: 2/3.</v>
      </c>
      <c r="J10" t="s">
        <v>329</v>
      </c>
    </row>
    <row r="11" spans="1:12" x14ac:dyDescent="0.2">
      <c r="A11" s="1" t="s">
        <v>35</v>
      </c>
      <c r="B11" s="1">
        <v>1072476</v>
      </c>
      <c r="C11">
        <f t="shared" si="0"/>
        <v>19.5</v>
      </c>
      <c r="E11">
        <v>7</v>
      </c>
      <c r="F11">
        <v>7</v>
      </c>
      <c r="G11">
        <v>2.5</v>
      </c>
      <c r="H11">
        <v>3</v>
      </c>
      <c r="I11" t="str">
        <f t="shared" si="1"/>
        <v>Q1: 7/7. Q2: 7/7. Q3: 2.5/3. Q4: 3/3.</v>
      </c>
      <c r="J11" s="1" t="s">
        <v>321</v>
      </c>
    </row>
    <row r="12" spans="1:12" x14ac:dyDescent="0.2">
      <c r="A12" s="1" t="s">
        <v>37</v>
      </c>
      <c r="B12" s="1">
        <v>1316006</v>
      </c>
      <c r="C12">
        <f t="shared" si="0"/>
        <v>16</v>
      </c>
      <c r="E12">
        <v>7</v>
      </c>
      <c r="F12">
        <v>5.5</v>
      </c>
      <c r="G12">
        <v>1.5</v>
      </c>
      <c r="H12">
        <v>2</v>
      </c>
      <c r="I12" t="str">
        <f t="shared" si="1"/>
        <v>Q1: 7/7. Q2: 5.5/7. Q3: 1.5/3. Q4: 2/3.</v>
      </c>
      <c r="J12" t="s">
        <v>330</v>
      </c>
      <c r="L12" s="1"/>
    </row>
    <row r="13" spans="1:12" x14ac:dyDescent="0.2">
      <c r="A13" s="1" t="s">
        <v>39</v>
      </c>
      <c r="B13" s="1">
        <v>650596</v>
      </c>
      <c r="C13">
        <f t="shared" si="0"/>
        <v>0</v>
      </c>
      <c r="E13">
        <v>0</v>
      </c>
      <c r="F13">
        <v>0</v>
      </c>
      <c r="G13">
        <v>0</v>
      </c>
      <c r="H13">
        <v>0</v>
      </c>
      <c r="I13" t="str">
        <f t="shared" si="1"/>
        <v>Q1: 0/7. Q2: 0/7. Q3: 0/3. Q4: 0/3.</v>
      </c>
      <c r="J13" t="s">
        <v>323</v>
      </c>
    </row>
    <row r="14" spans="1:12" x14ac:dyDescent="0.2">
      <c r="A14" s="1" t="s">
        <v>41</v>
      </c>
      <c r="B14" s="1">
        <v>1063490</v>
      </c>
      <c r="C14">
        <f t="shared" si="0"/>
        <v>11</v>
      </c>
      <c r="E14">
        <v>7</v>
      </c>
      <c r="F14">
        <v>4</v>
      </c>
      <c r="G14">
        <v>0</v>
      </c>
      <c r="H14">
        <v>0</v>
      </c>
      <c r="I14" t="str">
        <f t="shared" si="1"/>
        <v>Q1: 7/7. Q2: 4/7. Q3: 0/3. Q4: 0/3.</v>
      </c>
      <c r="J14" t="s">
        <v>322</v>
      </c>
    </row>
    <row r="15" spans="1:12" x14ac:dyDescent="0.2">
      <c r="A15" s="1" t="s">
        <v>43</v>
      </c>
      <c r="B15" s="1">
        <v>1502683</v>
      </c>
      <c r="C15">
        <f t="shared" si="0"/>
        <v>14.5</v>
      </c>
      <c r="E15">
        <v>7</v>
      </c>
      <c r="F15">
        <v>4.5</v>
      </c>
      <c r="G15">
        <v>1.5</v>
      </c>
      <c r="H15">
        <v>1.5</v>
      </c>
      <c r="I15" t="str">
        <f t="shared" si="1"/>
        <v>Q1: 7/7. Q2: 4.5/7. Q3: 1.5/3. Q4: 1.5/3.</v>
      </c>
      <c r="J15" t="s">
        <v>331</v>
      </c>
      <c r="L15" s="1"/>
    </row>
    <row r="16" spans="1:12" x14ac:dyDescent="0.2">
      <c r="A16" s="1" t="s">
        <v>45</v>
      </c>
      <c r="B16" s="1">
        <v>884343</v>
      </c>
      <c r="C16">
        <f t="shared" si="0"/>
        <v>19.5</v>
      </c>
      <c r="E16">
        <v>7</v>
      </c>
      <c r="F16">
        <v>7</v>
      </c>
      <c r="G16">
        <v>2.5</v>
      </c>
      <c r="H16">
        <v>3</v>
      </c>
      <c r="I16" t="str">
        <f t="shared" si="1"/>
        <v>Q1: 7/7. Q2: 7/7. Q3: 2.5/3. Q4: 3/3.</v>
      </c>
      <c r="J16" s="1" t="s">
        <v>321</v>
      </c>
    </row>
    <row r="17" spans="1:13" x14ac:dyDescent="0.2">
      <c r="A17" s="1" t="s">
        <v>47</v>
      </c>
      <c r="B17" s="1">
        <v>1510683</v>
      </c>
      <c r="C17">
        <f t="shared" si="0"/>
        <v>15.5</v>
      </c>
      <c r="E17">
        <v>7</v>
      </c>
      <c r="F17">
        <v>4</v>
      </c>
      <c r="G17">
        <v>2.5</v>
      </c>
      <c r="H17">
        <v>2</v>
      </c>
      <c r="I17" t="str">
        <f t="shared" si="1"/>
        <v>Q1: 7/7. Q2: 4/7. Q3: 2.5/3. Q4: 2/3.</v>
      </c>
      <c r="J17" t="s">
        <v>332</v>
      </c>
      <c r="L17" s="1"/>
    </row>
    <row r="18" spans="1:13" s="2" customFormat="1" x14ac:dyDescent="0.2">
      <c r="A18" s="3" t="s">
        <v>49</v>
      </c>
      <c r="B18" s="3">
        <v>1074491</v>
      </c>
      <c r="C18" s="2">
        <f t="shared" si="0"/>
        <v>17</v>
      </c>
      <c r="E18" s="2">
        <v>6.5</v>
      </c>
      <c r="F18" s="2">
        <v>7</v>
      </c>
      <c r="G18" s="2">
        <v>2.5</v>
      </c>
      <c r="H18" s="2">
        <v>1</v>
      </c>
      <c r="I18" s="2" t="str">
        <f t="shared" si="1"/>
        <v>Q1: 6.5/7. Q2: 7/7. Q3: 2.5/3. Q4: 1/3.</v>
      </c>
      <c r="J18" s="2" t="s">
        <v>333</v>
      </c>
      <c r="L18" s="3"/>
    </row>
    <row r="19" spans="1:13" x14ac:dyDescent="0.2">
      <c r="A19" s="1" t="s">
        <v>51</v>
      </c>
      <c r="B19" s="1">
        <v>1495622</v>
      </c>
      <c r="C19">
        <f t="shared" si="0"/>
        <v>16</v>
      </c>
      <c r="E19">
        <v>7</v>
      </c>
      <c r="F19">
        <v>7</v>
      </c>
      <c r="G19">
        <v>1</v>
      </c>
      <c r="H19">
        <v>1</v>
      </c>
      <c r="I19" t="str">
        <f t="shared" si="1"/>
        <v>Q1: 7/7. Q2: 7/7. Q3: 1/3. Q4: 1/3.</v>
      </c>
      <c r="J19" t="s">
        <v>334</v>
      </c>
    </row>
    <row r="20" spans="1:13" x14ac:dyDescent="0.2">
      <c r="A20" s="1" t="s">
        <v>53</v>
      </c>
      <c r="B20" s="1">
        <v>992893</v>
      </c>
      <c r="C20">
        <f t="shared" si="0"/>
        <v>15.5</v>
      </c>
      <c r="E20">
        <v>7</v>
      </c>
      <c r="F20">
        <v>6</v>
      </c>
      <c r="G20">
        <v>2.5</v>
      </c>
      <c r="H20">
        <v>0</v>
      </c>
      <c r="I20" t="str">
        <f t="shared" si="1"/>
        <v>Q1: 7/7. Q2: 6/7. Q3: 2.5/3. Q4: 0/3.</v>
      </c>
      <c r="J20" t="s">
        <v>335</v>
      </c>
      <c r="L20" s="1"/>
    </row>
    <row r="21" spans="1:13" x14ac:dyDescent="0.2">
      <c r="A21" s="1" t="s">
        <v>55</v>
      </c>
      <c r="B21" s="1">
        <v>1181978</v>
      </c>
      <c r="C21">
        <f t="shared" si="0"/>
        <v>17</v>
      </c>
      <c r="E21">
        <v>7</v>
      </c>
      <c r="F21">
        <v>5.5</v>
      </c>
      <c r="G21">
        <v>2.5</v>
      </c>
      <c r="H21">
        <v>2</v>
      </c>
      <c r="I21" t="str">
        <f t="shared" si="1"/>
        <v>Q1: 7/7. Q2: 5.5/7. Q3: 2.5/3. Q4: 2/3.</v>
      </c>
      <c r="J21" t="s">
        <v>336</v>
      </c>
      <c r="L21" s="1"/>
    </row>
    <row r="22" spans="1:13" x14ac:dyDescent="0.2">
      <c r="A22" s="1" t="s">
        <v>57</v>
      </c>
      <c r="B22" s="1">
        <v>1051214</v>
      </c>
      <c r="C22">
        <f t="shared" si="0"/>
        <v>19.5</v>
      </c>
      <c r="E22">
        <v>7</v>
      </c>
      <c r="F22">
        <v>7</v>
      </c>
      <c r="G22">
        <v>2.5</v>
      </c>
      <c r="H22">
        <v>3</v>
      </c>
      <c r="I22" t="str">
        <f t="shared" si="1"/>
        <v>Q1: 7/7. Q2: 7/7. Q3: 2.5/3. Q4: 3/3.</v>
      </c>
      <c r="J22" s="1" t="s">
        <v>321</v>
      </c>
    </row>
    <row r="23" spans="1:13" hidden="1" x14ac:dyDescent="0.2">
      <c r="A23" s="1" t="s">
        <v>59</v>
      </c>
      <c r="B23" s="1" t="s">
        <v>60</v>
      </c>
      <c r="C23">
        <f t="shared" si="0"/>
        <v>0</v>
      </c>
      <c r="I23" t="str">
        <f t="shared" si="1"/>
        <v>Q1: /7. Q2: /7. Q3: /3. Q4: /3.</v>
      </c>
      <c r="J23" t="s">
        <v>310</v>
      </c>
      <c r="K23" t="s">
        <v>311</v>
      </c>
      <c r="L23" t="s">
        <v>312</v>
      </c>
      <c r="M23" t="s">
        <v>313</v>
      </c>
    </row>
    <row r="24" spans="1:13" hidden="1" x14ac:dyDescent="0.2">
      <c r="A24" s="1" t="s">
        <v>62</v>
      </c>
      <c r="B24" s="1" t="s">
        <v>63</v>
      </c>
      <c r="C24">
        <f t="shared" si="0"/>
        <v>0</v>
      </c>
      <c r="I24" t="str">
        <f t="shared" si="1"/>
        <v>Q1: /7. Q2: /7. Q3: /3. Q4: /3.</v>
      </c>
      <c r="J24" t="s">
        <v>310</v>
      </c>
      <c r="K24" t="s">
        <v>311</v>
      </c>
      <c r="L24" t="s">
        <v>312</v>
      </c>
      <c r="M24" t="s">
        <v>313</v>
      </c>
    </row>
    <row r="25" spans="1:13" x14ac:dyDescent="0.2">
      <c r="A25" s="1" t="s">
        <v>64</v>
      </c>
      <c r="B25" s="1">
        <v>1549443</v>
      </c>
      <c r="C25">
        <f t="shared" si="0"/>
        <v>15.5</v>
      </c>
      <c r="E25">
        <v>7</v>
      </c>
      <c r="F25">
        <v>4.5</v>
      </c>
      <c r="G25">
        <v>2</v>
      </c>
      <c r="H25">
        <v>2</v>
      </c>
      <c r="I25" t="str">
        <f t="shared" si="1"/>
        <v>Q1: 7/7. Q2: 4.5/7. Q3: 2/3. Q4: 2/3.</v>
      </c>
      <c r="J25" t="s">
        <v>337</v>
      </c>
    </row>
    <row r="26" spans="1:13" x14ac:dyDescent="0.2">
      <c r="A26" s="1" t="s">
        <v>66</v>
      </c>
      <c r="B26" s="1">
        <v>1510033</v>
      </c>
      <c r="C26">
        <f t="shared" si="0"/>
        <v>7</v>
      </c>
      <c r="E26">
        <v>2.5</v>
      </c>
      <c r="F26">
        <v>2</v>
      </c>
      <c r="G26">
        <v>1</v>
      </c>
      <c r="H26">
        <v>1.5</v>
      </c>
      <c r="I26" t="str">
        <f t="shared" si="1"/>
        <v>Q1: 2.5/7. Q2: 2/7. Q3: 1/3. Q4: 1.5/3.</v>
      </c>
      <c r="J26" t="s">
        <v>338</v>
      </c>
    </row>
    <row r="27" spans="1:13" x14ac:dyDescent="0.2">
      <c r="A27" s="1" t="s">
        <v>68</v>
      </c>
      <c r="B27" s="1">
        <v>1168383</v>
      </c>
      <c r="C27">
        <f t="shared" si="0"/>
        <v>19</v>
      </c>
      <c r="E27">
        <v>7</v>
      </c>
      <c r="F27">
        <v>6.5</v>
      </c>
      <c r="G27">
        <v>3</v>
      </c>
      <c r="H27">
        <v>2.5</v>
      </c>
      <c r="I27" t="str">
        <f t="shared" si="1"/>
        <v>Q1: 7/7. Q2: 6.5/7. Q3: 3/3. Q4: 2.5/3.</v>
      </c>
      <c r="J27" t="s">
        <v>339</v>
      </c>
    </row>
    <row r="28" spans="1:13" x14ac:dyDescent="0.2">
      <c r="A28" s="1" t="s">
        <v>70</v>
      </c>
      <c r="B28" s="1">
        <v>1436936</v>
      </c>
      <c r="C28">
        <f t="shared" si="0"/>
        <v>14.5</v>
      </c>
      <c r="E28">
        <v>7</v>
      </c>
      <c r="F28">
        <v>4</v>
      </c>
      <c r="G28">
        <v>1.5</v>
      </c>
      <c r="H28">
        <v>2</v>
      </c>
      <c r="I28" t="str">
        <f t="shared" si="1"/>
        <v>Q1: 7/7. Q2: 4/7. Q3: 1.5/3. Q4: 2/3.</v>
      </c>
      <c r="J28" t="s">
        <v>340</v>
      </c>
    </row>
    <row r="29" spans="1:13" x14ac:dyDescent="0.2">
      <c r="A29" s="1" t="s">
        <v>72</v>
      </c>
      <c r="B29" s="1">
        <v>1322753</v>
      </c>
      <c r="C29">
        <f t="shared" si="0"/>
        <v>16.5</v>
      </c>
      <c r="E29">
        <v>7</v>
      </c>
      <c r="F29">
        <v>6.5</v>
      </c>
      <c r="G29">
        <v>1</v>
      </c>
      <c r="H29">
        <v>2</v>
      </c>
      <c r="I29" t="str">
        <f t="shared" si="1"/>
        <v>Q1: 7/7. Q2: 6.5/7. Q3: 1/3. Q4: 2/3.</v>
      </c>
      <c r="J29" t="s">
        <v>341</v>
      </c>
    </row>
    <row r="30" spans="1:13" x14ac:dyDescent="0.2">
      <c r="A30" s="1" t="s">
        <v>74</v>
      </c>
      <c r="B30" s="1">
        <v>1474916</v>
      </c>
      <c r="C30">
        <f t="shared" si="0"/>
        <v>14.75</v>
      </c>
      <c r="E30">
        <v>7</v>
      </c>
      <c r="F30">
        <v>4.25</v>
      </c>
      <c r="G30">
        <v>2.5</v>
      </c>
      <c r="H30">
        <v>1</v>
      </c>
      <c r="I30" t="str">
        <f t="shared" si="1"/>
        <v>Q1: 7/7. Q2: 4.25/7. Q3: 2.5/3. Q4: 1/3.</v>
      </c>
      <c r="J30" t="s">
        <v>342</v>
      </c>
    </row>
    <row r="31" spans="1:13" x14ac:dyDescent="0.2">
      <c r="A31" s="1" t="s">
        <v>76</v>
      </c>
      <c r="B31" s="1">
        <v>1036484</v>
      </c>
      <c r="C31">
        <f t="shared" si="0"/>
        <v>19</v>
      </c>
      <c r="E31">
        <v>7</v>
      </c>
      <c r="F31">
        <v>7</v>
      </c>
      <c r="G31">
        <v>2.5</v>
      </c>
      <c r="H31">
        <v>2.5</v>
      </c>
      <c r="I31" t="str">
        <f t="shared" si="1"/>
        <v>Q1: 7/7. Q2: 7/7. Q3: 2.5/3. Q4: 2.5/3.</v>
      </c>
      <c r="J31" s="1" t="s">
        <v>343</v>
      </c>
    </row>
    <row r="32" spans="1:13" x14ac:dyDescent="0.2">
      <c r="A32" s="1" t="s">
        <v>78</v>
      </c>
      <c r="B32" s="1">
        <v>1349379</v>
      </c>
      <c r="C32">
        <f t="shared" si="0"/>
        <v>16.5</v>
      </c>
      <c r="E32">
        <v>6</v>
      </c>
      <c r="F32">
        <v>7</v>
      </c>
      <c r="G32">
        <v>1.5</v>
      </c>
      <c r="H32">
        <v>2</v>
      </c>
      <c r="I32" t="str">
        <f t="shared" si="1"/>
        <v>Q1: 6/7. Q2: 7/7. Q3: 1.5/3. Q4: 2/3.</v>
      </c>
      <c r="J32" t="s">
        <v>344</v>
      </c>
    </row>
    <row r="33" spans="1:12" x14ac:dyDescent="0.2">
      <c r="A33" s="1" t="s">
        <v>80</v>
      </c>
      <c r="B33" s="1">
        <v>1464811</v>
      </c>
      <c r="C33">
        <f t="shared" si="0"/>
        <v>18.5</v>
      </c>
      <c r="E33">
        <v>7</v>
      </c>
      <c r="F33">
        <v>7</v>
      </c>
      <c r="G33">
        <v>2</v>
      </c>
      <c r="H33">
        <v>2.5</v>
      </c>
      <c r="I33" t="str">
        <f t="shared" si="1"/>
        <v>Q1: 7/7. Q2: 7/7. Q3: 2/3. Q4: 2.5/3.</v>
      </c>
      <c r="J33" t="s">
        <v>345</v>
      </c>
    </row>
    <row r="34" spans="1:12" x14ac:dyDescent="0.2">
      <c r="A34" s="1" t="s">
        <v>82</v>
      </c>
      <c r="B34" s="1">
        <v>1177465</v>
      </c>
      <c r="C34">
        <f t="shared" si="0"/>
        <v>16.5</v>
      </c>
      <c r="E34">
        <v>6</v>
      </c>
      <c r="F34">
        <v>7</v>
      </c>
      <c r="G34">
        <v>2.5</v>
      </c>
      <c r="H34">
        <v>1</v>
      </c>
      <c r="I34" t="str">
        <f t="shared" si="1"/>
        <v>Q1: 6/7. Q2: 7/7. Q3: 2.5/3. Q4: 1/3.</v>
      </c>
      <c r="J34" t="s">
        <v>346</v>
      </c>
      <c r="L34" s="1"/>
    </row>
    <row r="35" spans="1:12" x14ac:dyDescent="0.2">
      <c r="A35" s="1" t="s">
        <v>84</v>
      </c>
      <c r="B35" s="1">
        <v>1086178</v>
      </c>
      <c r="C35">
        <f t="shared" si="0"/>
        <v>19</v>
      </c>
      <c r="E35">
        <v>7</v>
      </c>
      <c r="F35">
        <v>7</v>
      </c>
      <c r="G35">
        <v>2.5</v>
      </c>
      <c r="H35">
        <v>2.5</v>
      </c>
      <c r="I35" t="str">
        <f t="shared" si="1"/>
        <v>Q1: 7/7. Q2: 7/7. Q3: 2.5/3. Q4: 2.5/3.</v>
      </c>
      <c r="J35" s="1" t="s">
        <v>347</v>
      </c>
    </row>
    <row r="36" spans="1:12" x14ac:dyDescent="0.2">
      <c r="A36" s="1" t="s">
        <v>86</v>
      </c>
      <c r="B36" s="1">
        <v>1533296</v>
      </c>
      <c r="C36">
        <f t="shared" si="0"/>
        <v>9</v>
      </c>
      <c r="E36">
        <v>3</v>
      </c>
      <c r="F36">
        <v>3</v>
      </c>
      <c r="G36">
        <v>1.5</v>
      </c>
      <c r="H36">
        <v>1.5</v>
      </c>
      <c r="I36" t="str">
        <f t="shared" si="1"/>
        <v>Q1: 3/7. Q2: 3/7. Q3: 1.5/3. Q4: 1.5/3.</v>
      </c>
      <c r="J36" t="s">
        <v>348</v>
      </c>
    </row>
    <row r="37" spans="1:12" x14ac:dyDescent="0.2">
      <c r="A37" s="1" t="s">
        <v>88</v>
      </c>
      <c r="B37" s="1">
        <v>979356</v>
      </c>
      <c r="C37">
        <f t="shared" si="0"/>
        <v>19.25</v>
      </c>
      <c r="E37">
        <v>7</v>
      </c>
      <c r="F37">
        <v>7</v>
      </c>
      <c r="G37">
        <v>2.5</v>
      </c>
      <c r="H37">
        <v>2.75</v>
      </c>
      <c r="I37" t="str">
        <f t="shared" si="1"/>
        <v>Q1: 7/7. Q2: 7/7. Q3: 2.5/3. Q4: 2.75/3.</v>
      </c>
      <c r="J37" s="1" t="s">
        <v>349</v>
      </c>
    </row>
    <row r="38" spans="1:12" x14ac:dyDescent="0.2">
      <c r="A38" s="1" t="s">
        <v>90</v>
      </c>
      <c r="B38" s="1">
        <v>1494354</v>
      </c>
      <c r="C38">
        <f t="shared" si="0"/>
        <v>18</v>
      </c>
      <c r="E38">
        <v>7</v>
      </c>
      <c r="F38">
        <v>7</v>
      </c>
      <c r="G38">
        <v>2.5</v>
      </c>
      <c r="H38">
        <v>1.5</v>
      </c>
      <c r="I38" t="str">
        <f t="shared" si="1"/>
        <v>Q1: 7/7. Q2: 7/7. Q3: 2.5/3. Q4: 1.5/3.</v>
      </c>
      <c r="J38" s="1" t="s">
        <v>350</v>
      </c>
    </row>
    <row r="39" spans="1:12" x14ac:dyDescent="0.2">
      <c r="A39" s="1" t="s">
        <v>92</v>
      </c>
      <c r="B39" s="1">
        <v>1437784</v>
      </c>
      <c r="C39">
        <f t="shared" si="0"/>
        <v>17.5</v>
      </c>
      <c r="E39">
        <v>6</v>
      </c>
      <c r="F39">
        <v>7</v>
      </c>
      <c r="G39">
        <v>2</v>
      </c>
      <c r="H39">
        <v>2.5</v>
      </c>
      <c r="I39" t="str">
        <f t="shared" si="1"/>
        <v>Q1: 6/7. Q2: 7/7. Q3: 2/3. Q4: 2.5/3.</v>
      </c>
      <c r="J39" t="s">
        <v>351</v>
      </c>
    </row>
    <row r="40" spans="1:12" x14ac:dyDescent="0.2">
      <c r="A40" s="1" t="s">
        <v>94</v>
      </c>
      <c r="B40" s="1">
        <v>1580719</v>
      </c>
      <c r="C40">
        <f t="shared" si="0"/>
        <v>16.25</v>
      </c>
      <c r="E40">
        <v>6</v>
      </c>
      <c r="F40">
        <v>5.5</v>
      </c>
      <c r="G40">
        <v>2.5</v>
      </c>
      <c r="H40">
        <v>2.25</v>
      </c>
      <c r="I40" t="str">
        <f t="shared" si="1"/>
        <v>Q1: 6/7. Q2: 5.5/7. Q3: 2.5/3. Q4: 2.25/3.</v>
      </c>
      <c r="J40" t="s">
        <v>352</v>
      </c>
    </row>
    <row r="41" spans="1:12" x14ac:dyDescent="0.2">
      <c r="A41" s="1" t="s">
        <v>96</v>
      </c>
      <c r="B41" s="1">
        <v>1270455</v>
      </c>
      <c r="C41">
        <f t="shared" si="0"/>
        <v>19.5</v>
      </c>
      <c r="E41">
        <v>7</v>
      </c>
      <c r="F41">
        <v>6.5</v>
      </c>
      <c r="G41">
        <v>3</v>
      </c>
      <c r="H41">
        <v>3</v>
      </c>
      <c r="I41" t="str">
        <f t="shared" si="1"/>
        <v>Q1: 7/7. Q2: 6.5/7. Q3: 3/3. Q4: 3/3.</v>
      </c>
      <c r="J41" t="s">
        <v>320</v>
      </c>
    </row>
    <row r="42" spans="1:12" s="2" customFormat="1" x14ac:dyDescent="0.2">
      <c r="A42" s="3" t="s">
        <v>98</v>
      </c>
      <c r="B42" s="3">
        <v>1442961</v>
      </c>
      <c r="C42" s="2">
        <f t="shared" si="0"/>
        <v>17</v>
      </c>
      <c r="E42" s="2">
        <v>6.5</v>
      </c>
      <c r="F42" s="2">
        <v>7</v>
      </c>
      <c r="G42" s="2">
        <v>2.5</v>
      </c>
      <c r="H42" s="2">
        <v>1</v>
      </c>
      <c r="I42" s="2" t="str">
        <f t="shared" si="1"/>
        <v>Q1: 6.5/7. Q2: 7/7. Q3: 2.5/3. Q4: 1/3.</v>
      </c>
      <c r="J42" s="2" t="s">
        <v>353</v>
      </c>
      <c r="L42"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76EF9-7783-8A4C-A5C3-378553C8147E}">
  <dimension ref="A1:J42"/>
  <sheetViews>
    <sheetView workbookViewId="0">
      <selection activeCell="C20" sqref="C20"/>
    </sheetView>
  </sheetViews>
  <sheetFormatPr baseColWidth="10" defaultRowHeight="16" x14ac:dyDescent="0.2"/>
  <sheetData>
    <row r="1" spans="1:10" x14ac:dyDescent="0.2">
      <c r="A1" s="1" t="s">
        <v>0</v>
      </c>
      <c r="B1" s="1" t="s">
        <v>2</v>
      </c>
      <c r="C1" t="s">
        <v>109</v>
      </c>
      <c r="D1" s="1" t="s">
        <v>110</v>
      </c>
      <c r="E1" s="1" t="s">
        <v>227</v>
      </c>
      <c r="F1" s="1" t="s">
        <v>228</v>
      </c>
      <c r="G1" s="1" t="s">
        <v>229</v>
      </c>
      <c r="H1" s="1" t="s">
        <v>230</v>
      </c>
      <c r="J1" s="1" t="s">
        <v>314</v>
      </c>
    </row>
    <row r="2" spans="1:10" x14ac:dyDescent="0.2">
      <c r="A2" s="1" t="s">
        <v>15</v>
      </c>
      <c r="B2" s="1">
        <v>0</v>
      </c>
      <c r="C2">
        <f>(E2+F2)/2+G2+H2</f>
        <v>20</v>
      </c>
      <c r="D2">
        <v>0</v>
      </c>
      <c r="E2">
        <v>14</v>
      </c>
      <c r="F2">
        <v>14</v>
      </c>
      <c r="G2">
        <v>1</v>
      </c>
      <c r="H2">
        <v>5</v>
      </c>
    </row>
    <row r="3" spans="1:10" x14ac:dyDescent="0.2">
      <c r="A3" s="1" t="s">
        <v>17</v>
      </c>
      <c r="B3" s="1">
        <v>1370675</v>
      </c>
      <c r="C3">
        <f t="shared" ref="C3:C42" si="0">(E3+F3)/2+G3+H3</f>
        <v>16.25</v>
      </c>
      <c r="E3">
        <v>10</v>
      </c>
      <c r="F3">
        <v>12.5</v>
      </c>
      <c r="G3">
        <v>1</v>
      </c>
      <c r="H3">
        <v>4</v>
      </c>
      <c r="I3" t="s">
        <v>318</v>
      </c>
    </row>
    <row r="4" spans="1:10" x14ac:dyDescent="0.2">
      <c r="A4" s="1" t="s">
        <v>21</v>
      </c>
      <c r="B4" s="1">
        <v>995802</v>
      </c>
      <c r="C4">
        <f t="shared" si="0"/>
        <v>19.5</v>
      </c>
      <c r="E4">
        <v>14</v>
      </c>
      <c r="F4">
        <v>13</v>
      </c>
      <c r="G4">
        <v>1</v>
      </c>
      <c r="H4">
        <v>5</v>
      </c>
    </row>
    <row r="5" spans="1:10" x14ac:dyDescent="0.2">
      <c r="A5" s="1" t="s">
        <v>23</v>
      </c>
      <c r="B5" s="1">
        <v>1417057</v>
      </c>
      <c r="C5">
        <f t="shared" si="0"/>
        <v>18.25</v>
      </c>
      <c r="E5">
        <v>11</v>
      </c>
      <c r="F5">
        <v>13.5</v>
      </c>
      <c r="G5">
        <v>1</v>
      </c>
      <c r="H5">
        <v>5</v>
      </c>
    </row>
    <row r="6" spans="1:10" x14ac:dyDescent="0.2">
      <c r="A6" s="1" t="s">
        <v>25</v>
      </c>
      <c r="B6" s="1">
        <v>1374388</v>
      </c>
      <c r="C6">
        <f t="shared" si="0"/>
        <v>16.25</v>
      </c>
      <c r="E6">
        <v>9.5</v>
      </c>
      <c r="F6">
        <v>11</v>
      </c>
      <c r="G6">
        <v>1</v>
      </c>
      <c r="H6">
        <v>5</v>
      </c>
    </row>
    <row r="7" spans="1:10" x14ac:dyDescent="0.2">
      <c r="A7" s="1" t="s">
        <v>27</v>
      </c>
      <c r="B7" s="1">
        <v>1373562</v>
      </c>
      <c r="C7">
        <f t="shared" si="0"/>
        <v>18</v>
      </c>
      <c r="E7">
        <v>11</v>
      </c>
      <c r="F7">
        <v>13</v>
      </c>
      <c r="G7">
        <v>1</v>
      </c>
      <c r="H7">
        <v>5</v>
      </c>
    </row>
    <row r="8" spans="1:10" x14ac:dyDescent="0.2">
      <c r="A8" s="1" t="s">
        <v>29</v>
      </c>
      <c r="B8" s="1">
        <v>1443406</v>
      </c>
      <c r="C8">
        <f t="shared" si="0"/>
        <v>19.25</v>
      </c>
      <c r="E8">
        <v>13.5</v>
      </c>
      <c r="F8">
        <v>13</v>
      </c>
      <c r="G8">
        <v>1</v>
      </c>
      <c r="H8">
        <v>5</v>
      </c>
    </row>
    <row r="9" spans="1:10" x14ac:dyDescent="0.2">
      <c r="A9" s="1" t="s">
        <v>31</v>
      </c>
      <c r="B9" s="1">
        <v>1555968</v>
      </c>
      <c r="C9">
        <f t="shared" si="0"/>
        <v>17.25</v>
      </c>
      <c r="E9">
        <v>11</v>
      </c>
      <c r="F9">
        <v>11.5</v>
      </c>
      <c r="G9">
        <v>1</v>
      </c>
      <c r="H9">
        <v>5</v>
      </c>
    </row>
    <row r="10" spans="1:10" x14ac:dyDescent="0.2">
      <c r="A10" s="1" t="s">
        <v>33</v>
      </c>
      <c r="B10" s="1">
        <v>1436599</v>
      </c>
      <c r="C10">
        <f t="shared" si="0"/>
        <v>15.5</v>
      </c>
      <c r="E10">
        <v>7.5</v>
      </c>
      <c r="F10">
        <v>11.5</v>
      </c>
      <c r="G10">
        <v>1</v>
      </c>
      <c r="H10">
        <v>5</v>
      </c>
    </row>
    <row r="11" spans="1:10" x14ac:dyDescent="0.2">
      <c r="A11" s="1" t="s">
        <v>35</v>
      </c>
      <c r="B11" s="1">
        <v>1072476</v>
      </c>
      <c r="C11">
        <f t="shared" si="0"/>
        <v>18.25</v>
      </c>
      <c r="E11">
        <v>12</v>
      </c>
      <c r="F11">
        <v>12.5</v>
      </c>
      <c r="G11">
        <v>1</v>
      </c>
      <c r="H11">
        <v>5</v>
      </c>
    </row>
    <row r="12" spans="1:10" x14ac:dyDescent="0.2">
      <c r="A12" s="1" t="s">
        <v>37</v>
      </c>
      <c r="B12" s="1">
        <v>1316006</v>
      </c>
      <c r="C12">
        <f t="shared" si="0"/>
        <v>14.75</v>
      </c>
      <c r="E12">
        <v>7</v>
      </c>
      <c r="F12">
        <v>12.5</v>
      </c>
      <c r="G12">
        <v>1</v>
      </c>
      <c r="H12">
        <v>4</v>
      </c>
      <c r="I12" t="s">
        <v>315</v>
      </c>
    </row>
    <row r="13" spans="1:10" x14ac:dyDescent="0.2">
      <c r="A13" s="1" t="s">
        <v>39</v>
      </c>
      <c r="B13" s="1">
        <v>650596</v>
      </c>
      <c r="C13">
        <f t="shared" si="0"/>
        <v>16.5</v>
      </c>
      <c r="E13">
        <v>11</v>
      </c>
      <c r="F13">
        <v>12</v>
      </c>
      <c r="G13">
        <v>1</v>
      </c>
      <c r="H13">
        <v>4</v>
      </c>
      <c r="I13" t="s">
        <v>315</v>
      </c>
    </row>
    <row r="14" spans="1:10" x14ac:dyDescent="0.2">
      <c r="A14" s="1" t="s">
        <v>41</v>
      </c>
      <c r="B14" s="1">
        <v>1063490</v>
      </c>
      <c r="C14">
        <f t="shared" si="0"/>
        <v>18.75</v>
      </c>
      <c r="E14">
        <v>13</v>
      </c>
      <c r="F14">
        <v>12.5</v>
      </c>
      <c r="G14">
        <v>1</v>
      </c>
      <c r="H14">
        <v>5</v>
      </c>
    </row>
    <row r="15" spans="1:10" x14ac:dyDescent="0.2">
      <c r="A15" s="1" t="s">
        <v>43</v>
      </c>
      <c r="B15" s="1">
        <v>1502683</v>
      </c>
      <c r="C15">
        <f t="shared" si="0"/>
        <v>16.25</v>
      </c>
      <c r="E15">
        <v>9.5</v>
      </c>
      <c r="F15">
        <v>11</v>
      </c>
      <c r="G15">
        <v>1</v>
      </c>
      <c r="H15">
        <v>5</v>
      </c>
    </row>
    <row r="16" spans="1:10" x14ac:dyDescent="0.2">
      <c r="A16" s="1" t="s">
        <v>45</v>
      </c>
      <c r="B16" s="1">
        <v>884343</v>
      </c>
      <c r="C16">
        <f t="shared" si="0"/>
        <v>18</v>
      </c>
      <c r="E16">
        <v>10.5</v>
      </c>
      <c r="F16">
        <v>13.5</v>
      </c>
      <c r="G16">
        <v>1</v>
      </c>
      <c r="H16">
        <v>5</v>
      </c>
    </row>
    <row r="17" spans="1:9" x14ac:dyDescent="0.2">
      <c r="A17" s="1" t="s">
        <v>47</v>
      </c>
      <c r="B17" s="1">
        <v>1510683</v>
      </c>
      <c r="C17">
        <f t="shared" si="0"/>
        <v>15.75</v>
      </c>
      <c r="E17">
        <v>9.5</v>
      </c>
      <c r="F17">
        <v>12</v>
      </c>
      <c r="G17">
        <v>1</v>
      </c>
      <c r="H17">
        <v>4</v>
      </c>
      <c r="I17" t="s">
        <v>318</v>
      </c>
    </row>
    <row r="18" spans="1:9" x14ac:dyDescent="0.2">
      <c r="A18" s="1" t="s">
        <v>49</v>
      </c>
      <c r="B18" s="1">
        <v>1074491</v>
      </c>
      <c r="C18">
        <f t="shared" si="0"/>
        <v>14</v>
      </c>
      <c r="E18">
        <v>8</v>
      </c>
      <c r="F18">
        <v>10</v>
      </c>
      <c r="G18">
        <v>1</v>
      </c>
      <c r="H18">
        <v>4</v>
      </c>
      <c r="I18" t="s">
        <v>315</v>
      </c>
    </row>
    <row r="19" spans="1:9" x14ac:dyDescent="0.2">
      <c r="A19" s="1" t="s">
        <v>51</v>
      </c>
      <c r="B19" s="1">
        <v>1495622</v>
      </c>
      <c r="C19">
        <f t="shared" si="0"/>
        <v>15.75</v>
      </c>
      <c r="E19">
        <v>9</v>
      </c>
      <c r="F19">
        <v>12.5</v>
      </c>
      <c r="G19">
        <v>1</v>
      </c>
      <c r="H19">
        <v>4</v>
      </c>
      <c r="I19" t="s">
        <v>315</v>
      </c>
    </row>
    <row r="20" spans="1:9" x14ac:dyDescent="0.2">
      <c r="A20" s="1" t="s">
        <v>53</v>
      </c>
      <c r="B20" s="1">
        <v>992893</v>
      </c>
      <c r="C20">
        <f t="shared" si="0"/>
        <v>18</v>
      </c>
      <c r="E20">
        <v>13</v>
      </c>
      <c r="F20">
        <v>13</v>
      </c>
      <c r="G20">
        <v>0</v>
      </c>
      <c r="H20">
        <v>5</v>
      </c>
    </row>
    <row r="21" spans="1:9" x14ac:dyDescent="0.2">
      <c r="A21" s="1" t="s">
        <v>55</v>
      </c>
      <c r="B21" s="1">
        <v>1181978</v>
      </c>
      <c r="C21">
        <f t="shared" si="0"/>
        <v>19.5</v>
      </c>
      <c r="E21">
        <v>14</v>
      </c>
      <c r="F21">
        <v>13</v>
      </c>
      <c r="G21">
        <v>1</v>
      </c>
      <c r="H21">
        <v>5</v>
      </c>
    </row>
    <row r="22" spans="1:9" x14ac:dyDescent="0.2">
      <c r="A22" s="1" t="s">
        <v>57</v>
      </c>
      <c r="B22" s="1">
        <v>1051214</v>
      </c>
      <c r="C22">
        <f t="shared" si="0"/>
        <v>15</v>
      </c>
      <c r="E22">
        <v>9.5</v>
      </c>
      <c r="F22">
        <v>12.5</v>
      </c>
      <c r="G22">
        <v>1</v>
      </c>
      <c r="H22">
        <v>3</v>
      </c>
      <c r="I22" t="s">
        <v>319</v>
      </c>
    </row>
    <row r="23" spans="1:9" hidden="1" x14ac:dyDescent="0.2">
      <c r="A23" s="1" t="s">
        <v>59</v>
      </c>
      <c r="B23" s="1" t="s">
        <v>60</v>
      </c>
      <c r="C23">
        <f t="shared" si="0"/>
        <v>0</v>
      </c>
    </row>
    <row r="24" spans="1:9" hidden="1" x14ac:dyDescent="0.2">
      <c r="A24" s="1" t="s">
        <v>62</v>
      </c>
      <c r="B24" s="1" t="s">
        <v>63</v>
      </c>
      <c r="C24">
        <f t="shared" si="0"/>
        <v>0</v>
      </c>
    </row>
    <row r="25" spans="1:9" x14ac:dyDescent="0.2">
      <c r="A25" s="1" t="s">
        <v>64</v>
      </c>
      <c r="B25" s="1">
        <v>1549443</v>
      </c>
      <c r="C25">
        <f t="shared" si="0"/>
        <v>19</v>
      </c>
      <c r="E25">
        <v>13</v>
      </c>
      <c r="F25">
        <v>13</v>
      </c>
      <c r="G25">
        <v>1</v>
      </c>
      <c r="H25">
        <v>5</v>
      </c>
    </row>
    <row r="26" spans="1:9" x14ac:dyDescent="0.2">
      <c r="A26" s="1" t="s">
        <v>66</v>
      </c>
      <c r="B26" s="1">
        <v>1510033</v>
      </c>
      <c r="C26">
        <f t="shared" si="0"/>
        <v>13.5</v>
      </c>
      <c r="E26">
        <v>9</v>
      </c>
      <c r="F26">
        <v>12</v>
      </c>
      <c r="G26">
        <v>1</v>
      </c>
      <c r="H26">
        <v>2</v>
      </c>
      <c r="I26" t="s">
        <v>316</v>
      </c>
    </row>
    <row r="27" spans="1:9" x14ac:dyDescent="0.2">
      <c r="A27" s="1" t="s">
        <v>68</v>
      </c>
      <c r="B27" s="1">
        <v>1168383</v>
      </c>
      <c r="C27">
        <f t="shared" si="0"/>
        <v>19.25</v>
      </c>
      <c r="E27">
        <v>13.5</v>
      </c>
      <c r="F27">
        <v>13</v>
      </c>
      <c r="G27">
        <v>1</v>
      </c>
      <c r="H27">
        <v>5</v>
      </c>
    </row>
    <row r="28" spans="1:9" x14ac:dyDescent="0.2">
      <c r="A28" s="1" t="s">
        <v>70</v>
      </c>
      <c r="B28" s="1">
        <v>1436936</v>
      </c>
      <c r="C28">
        <f t="shared" si="0"/>
        <v>18.25</v>
      </c>
      <c r="E28">
        <v>11</v>
      </c>
      <c r="F28">
        <v>13.5</v>
      </c>
      <c r="G28">
        <v>1</v>
      </c>
      <c r="H28">
        <v>5</v>
      </c>
    </row>
    <row r="29" spans="1:9" x14ac:dyDescent="0.2">
      <c r="A29" s="1" t="s">
        <v>72</v>
      </c>
      <c r="B29" s="1">
        <v>1322753</v>
      </c>
      <c r="C29">
        <f t="shared" si="0"/>
        <v>14.75</v>
      </c>
      <c r="E29">
        <v>7</v>
      </c>
      <c r="F29">
        <v>12.5</v>
      </c>
      <c r="G29">
        <v>1</v>
      </c>
      <c r="H29">
        <v>4</v>
      </c>
      <c r="I29" t="s">
        <v>315</v>
      </c>
    </row>
    <row r="30" spans="1:9" x14ac:dyDescent="0.2">
      <c r="A30" s="1" t="s">
        <v>74</v>
      </c>
      <c r="B30" s="1">
        <v>1474916</v>
      </c>
      <c r="C30">
        <f t="shared" si="0"/>
        <v>18.75</v>
      </c>
      <c r="E30">
        <v>14</v>
      </c>
      <c r="F30">
        <v>12.5</v>
      </c>
      <c r="G30">
        <v>1</v>
      </c>
      <c r="H30">
        <v>4.5</v>
      </c>
      <c r="I30" t="s">
        <v>317</v>
      </c>
    </row>
    <row r="31" spans="1:9" x14ac:dyDescent="0.2">
      <c r="A31" s="1" t="s">
        <v>76</v>
      </c>
      <c r="B31" s="1">
        <v>1036484</v>
      </c>
      <c r="C31">
        <f t="shared" si="0"/>
        <v>17.25</v>
      </c>
      <c r="E31">
        <v>11</v>
      </c>
      <c r="F31">
        <v>11.5</v>
      </c>
      <c r="G31">
        <v>1</v>
      </c>
      <c r="H31">
        <v>5</v>
      </c>
    </row>
    <row r="32" spans="1:9" x14ac:dyDescent="0.2">
      <c r="A32" s="1" t="s">
        <v>78</v>
      </c>
      <c r="B32" s="1">
        <v>1349379</v>
      </c>
      <c r="C32">
        <f t="shared" si="0"/>
        <v>16.25</v>
      </c>
      <c r="E32">
        <v>8</v>
      </c>
      <c r="F32">
        <v>12.5</v>
      </c>
      <c r="G32">
        <v>1</v>
      </c>
      <c r="H32">
        <v>5</v>
      </c>
    </row>
    <row r="33" spans="1:9" x14ac:dyDescent="0.2">
      <c r="A33" s="1" t="s">
        <v>80</v>
      </c>
      <c r="B33" s="1">
        <v>1464811</v>
      </c>
      <c r="C33">
        <f t="shared" si="0"/>
        <v>17.75</v>
      </c>
      <c r="E33">
        <v>10.5</v>
      </c>
      <c r="F33">
        <v>13</v>
      </c>
      <c r="G33">
        <v>1</v>
      </c>
      <c r="H33">
        <v>5</v>
      </c>
    </row>
    <row r="34" spans="1:9" x14ac:dyDescent="0.2">
      <c r="A34" s="1" t="s">
        <v>82</v>
      </c>
      <c r="B34" s="1">
        <v>1177465</v>
      </c>
      <c r="C34">
        <f t="shared" si="0"/>
        <v>17.75</v>
      </c>
      <c r="E34">
        <v>12</v>
      </c>
      <c r="F34">
        <v>11.5</v>
      </c>
      <c r="G34">
        <v>1</v>
      </c>
      <c r="H34">
        <v>5</v>
      </c>
    </row>
    <row r="35" spans="1:9" x14ac:dyDescent="0.2">
      <c r="A35" s="1" t="s">
        <v>84</v>
      </c>
      <c r="B35" s="1">
        <v>1086178</v>
      </c>
      <c r="C35">
        <f t="shared" si="0"/>
        <v>18.75</v>
      </c>
      <c r="E35">
        <v>14</v>
      </c>
      <c r="F35">
        <v>12.5</v>
      </c>
      <c r="G35">
        <v>1</v>
      </c>
      <c r="H35">
        <v>4.5</v>
      </c>
      <c r="I35" t="s">
        <v>317</v>
      </c>
    </row>
    <row r="36" spans="1:9" x14ac:dyDescent="0.2">
      <c r="A36" s="1" t="s">
        <v>86</v>
      </c>
      <c r="B36" s="1">
        <v>1533296</v>
      </c>
      <c r="C36">
        <f t="shared" si="0"/>
        <v>13.75</v>
      </c>
      <c r="E36">
        <v>8</v>
      </c>
      <c r="F36">
        <v>11.5</v>
      </c>
      <c r="G36">
        <v>1</v>
      </c>
      <c r="H36">
        <v>3</v>
      </c>
      <c r="I36" t="s">
        <v>315</v>
      </c>
    </row>
    <row r="37" spans="1:9" x14ac:dyDescent="0.2">
      <c r="A37" s="1" t="s">
        <v>88</v>
      </c>
      <c r="B37" s="1">
        <v>979356</v>
      </c>
      <c r="C37">
        <f t="shared" si="0"/>
        <v>17.25</v>
      </c>
      <c r="E37">
        <v>11</v>
      </c>
      <c r="F37">
        <v>11.5</v>
      </c>
      <c r="G37">
        <v>1</v>
      </c>
      <c r="H37">
        <v>5</v>
      </c>
    </row>
    <row r="38" spans="1:9" x14ac:dyDescent="0.2">
      <c r="A38" s="1" t="s">
        <v>90</v>
      </c>
      <c r="B38" s="1">
        <v>1494354</v>
      </c>
      <c r="C38">
        <f t="shared" si="0"/>
        <v>17.5</v>
      </c>
      <c r="E38">
        <v>12</v>
      </c>
      <c r="F38">
        <v>13</v>
      </c>
      <c r="G38">
        <v>1</v>
      </c>
      <c r="H38">
        <v>4</v>
      </c>
      <c r="I38" t="s">
        <v>315</v>
      </c>
    </row>
    <row r="39" spans="1:9" x14ac:dyDescent="0.2">
      <c r="A39" s="1" t="s">
        <v>92</v>
      </c>
      <c r="B39" s="1">
        <v>1437784</v>
      </c>
      <c r="C39">
        <f t="shared" si="0"/>
        <v>16.25</v>
      </c>
      <c r="E39">
        <v>9.5</v>
      </c>
      <c r="F39">
        <v>13</v>
      </c>
      <c r="G39">
        <v>1</v>
      </c>
      <c r="H39">
        <v>4</v>
      </c>
      <c r="I39" t="s">
        <v>315</v>
      </c>
    </row>
    <row r="40" spans="1:9" x14ac:dyDescent="0.2">
      <c r="A40" s="1" t="s">
        <v>94</v>
      </c>
      <c r="B40" s="1">
        <v>1580719</v>
      </c>
      <c r="C40">
        <f t="shared" si="0"/>
        <v>15.5</v>
      </c>
      <c r="E40">
        <v>9.5</v>
      </c>
      <c r="F40">
        <v>11.5</v>
      </c>
      <c r="G40">
        <v>1</v>
      </c>
      <c r="H40">
        <v>4</v>
      </c>
      <c r="I40" t="s">
        <v>315</v>
      </c>
    </row>
    <row r="41" spans="1:9" x14ac:dyDescent="0.2">
      <c r="A41" s="1" t="s">
        <v>96</v>
      </c>
      <c r="B41" s="1">
        <v>1270455</v>
      </c>
      <c r="C41">
        <f t="shared" si="0"/>
        <v>15</v>
      </c>
      <c r="E41">
        <v>9.5</v>
      </c>
      <c r="F41">
        <v>12.5</v>
      </c>
      <c r="G41">
        <v>1</v>
      </c>
      <c r="H41">
        <v>3</v>
      </c>
      <c r="I41" t="s">
        <v>319</v>
      </c>
    </row>
    <row r="42" spans="1:9" x14ac:dyDescent="0.2">
      <c r="A42" s="1" t="s">
        <v>98</v>
      </c>
      <c r="B42" s="1">
        <v>1442961</v>
      </c>
      <c r="C42">
        <f t="shared" si="0"/>
        <v>15.75</v>
      </c>
      <c r="E42">
        <v>9</v>
      </c>
      <c r="F42">
        <v>10.5</v>
      </c>
      <c r="G42">
        <v>1</v>
      </c>
      <c r="H42">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483A74BA17C4B8DC1D78C3355B7D8" ma:contentTypeVersion="13" ma:contentTypeDescription="Create a new document." ma:contentTypeScope="" ma:versionID="bd779ccf55a7ba152d73ee00515247ad">
  <xsd:schema xmlns:xsd="http://www.w3.org/2001/XMLSchema" xmlns:xs="http://www.w3.org/2001/XMLSchema" xmlns:p="http://schemas.microsoft.com/office/2006/metadata/properties" xmlns:ns2="7aa9aa0f-bfd6-4d1d-a543-db80247b4e9b" xmlns:ns3="73c1e333-d044-433c-a05f-491a37400745" targetNamespace="http://schemas.microsoft.com/office/2006/metadata/properties" ma:root="true" ma:fieldsID="6550c6693adb33ce60e4f7ecabf2dd90" ns2:_="" ns3:_="">
    <xsd:import namespace="7aa9aa0f-bfd6-4d1d-a543-db80247b4e9b"/>
    <xsd:import namespace="73c1e333-d044-433c-a05f-491a374007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a9aa0f-bfd6-4d1d-a543-db80247b4e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c1e333-d044-433c-a05f-491a3740074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4fecf7-b946-4d64-9c54-d3ceac6472d0}" ma:internalName="TaxCatchAll" ma:showField="CatchAllData" ma:web="73c1e333-d044-433c-a05f-491a374007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c1e333-d044-433c-a05f-491a37400745" xsi:nil="true"/>
    <lcf76f155ced4ddcb4097134ff3c332f xmlns="7aa9aa0f-bfd6-4d1d-a543-db80247b4e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E58FA8-3580-489F-A992-7D10AC595670}"/>
</file>

<file path=customXml/itemProps2.xml><?xml version="1.0" encoding="utf-8"?>
<ds:datastoreItem xmlns:ds="http://schemas.openxmlformats.org/officeDocument/2006/customXml" ds:itemID="{03FD4F02-CB83-44AE-8537-D96721558245}"/>
</file>

<file path=customXml/itemProps3.xml><?xml version="1.0" encoding="utf-8"?>
<ds:datastoreItem xmlns:ds="http://schemas.openxmlformats.org/officeDocument/2006/customXml" ds:itemID="{4EEA4546-CB74-4D0B-8514-F463D01567D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Master Grades</vt:lpstr>
      <vt:lpstr>Homework 1</vt:lpstr>
      <vt:lpstr>Homework 2</vt:lpstr>
      <vt:lpstr>Homework 3</vt:lpstr>
      <vt:lpstr>Homework 4</vt:lpstr>
      <vt:lpstr>Assignment 1</vt:lpstr>
      <vt:lpstr>Assignment 2</vt:lpstr>
      <vt:lpstr>Assignment 3</vt:lpstr>
      <vt:lpstr>Presentation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Collis</dc:creator>
  <cp:lastModifiedBy>Jesse Collis</cp:lastModifiedBy>
  <dcterms:created xsi:type="dcterms:W3CDTF">2024-03-17T02:31:22Z</dcterms:created>
  <dcterms:modified xsi:type="dcterms:W3CDTF">2024-06-12T06:45:14Z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0x010100B13483A74BA17C4B8DC1D78C3355B7D8</vt:lpwstr>
  </property>
</Properties>
</file>